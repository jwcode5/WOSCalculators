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ay 1" sheetId="2" r:id="rId5"/>
    <sheet state="visible" name="Day 2" sheetId="3" r:id="rId6"/>
    <sheet state="visible" name="Day 3" sheetId="4" r:id="rId7"/>
    <sheet state="visible" name="Day 4" sheetId="5" r:id="rId8"/>
    <sheet state="visible" name="Day 5" sheetId="6" r:id="rId9"/>
  </sheets>
  <definedNames/>
  <calcPr/>
  <extLst>
    <ext uri="GoogleSheetsCustomDataVersion2">
      <go:sheetsCustomData xmlns:go="http://customooxmlschemas.google.com/" r:id="rId10" roundtripDataChecksum="EhoVeEpN1XQOfkbWMLN3sqwAdHbW4HWgkl3b2AQIpSw="/>
    </ext>
  </extLst>
</workbook>
</file>

<file path=xl/sharedStrings.xml><?xml version="1.0" encoding="utf-8"?>
<sst xmlns="http://schemas.openxmlformats.org/spreadsheetml/2006/main" count="292" uniqueCount="130">
  <si>
    <t xml:space="preserve">Tasks </t>
  </si>
  <si>
    <t>Points Overview</t>
  </si>
  <si>
    <t>Points</t>
  </si>
  <si>
    <t>State Medal Point Requirement</t>
  </si>
  <si>
    <t>Fire Crystals</t>
  </si>
  <si>
    <t>Y</t>
  </si>
  <si>
    <t>Day 1</t>
  </si>
  <si>
    <t>Fire Crystal shards (Research)</t>
  </si>
  <si>
    <t>Day 2</t>
  </si>
  <si>
    <t>Refined Fire Crystals (FC6+)</t>
  </si>
  <si>
    <t>Day 3</t>
  </si>
  <si>
    <t>Lucky Wheel</t>
  </si>
  <si>
    <t>Day 4</t>
  </si>
  <si>
    <t>Hero Shards</t>
  </si>
  <si>
    <t>Day 5</t>
  </si>
  <si>
    <t>Unsure, will update soon</t>
  </si>
  <si>
    <t>Widgets/Essence stones/Mithril</t>
  </si>
  <si>
    <t>Total SvS Score</t>
  </si>
  <si>
    <t>(Battle phase)</t>
  </si>
  <si>
    <t>Speedups</t>
  </si>
  <si>
    <t>Train troops</t>
  </si>
  <si>
    <t>Charms</t>
  </si>
  <si>
    <t>Only edit Green boxes</t>
  </si>
  <si>
    <t>Chief Gear</t>
  </si>
  <si>
    <t>Yellow boxes are subtotals/totals</t>
  </si>
  <si>
    <t>Gather resources</t>
  </si>
  <si>
    <t>Pet Advancement/Refine</t>
  </si>
  <si>
    <t>Polar Terror/Hunt beasts</t>
  </si>
  <si>
    <t>Experts-Sigil/Books</t>
  </si>
  <si>
    <r>
      <rPr>
        <rFont val="Calibri"/>
        <color theme="1"/>
        <sz val="11.0"/>
      </rPr>
      <t xml:space="preserve">Items in </t>
    </r>
    <r>
      <rPr>
        <rFont val="Calibri"/>
        <b/>
        <color rgb="FFFF0000"/>
        <sz val="11.0"/>
      </rPr>
      <t>RED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are the popular choices typically for that day, this is also dependant on the schedule of the state wide buffs offered.</t>
    </r>
  </si>
  <si>
    <t>Updated as of 25/08/2025</t>
  </si>
  <si>
    <t>Total points</t>
  </si>
  <si>
    <t>Materials</t>
  </si>
  <si>
    <t>Speedups (1minute)</t>
  </si>
  <si>
    <t>Fill in below</t>
  </si>
  <si>
    <t>Days</t>
  </si>
  <si>
    <t>Hours</t>
  </si>
  <si>
    <t>Minutes</t>
  </si>
  <si>
    <t>Charms Level</t>
  </si>
  <si>
    <t>Pieces</t>
  </si>
  <si>
    <t>Various</t>
  </si>
  <si>
    <t>Experts-Sigils/books</t>
  </si>
  <si>
    <t>Rare</t>
  </si>
  <si>
    <t>Epic</t>
  </si>
  <si>
    <t>Mythic</t>
  </si>
  <si>
    <t>Number</t>
  </si>
  <si>
    <t>T8 (Meat, Wood, Coal. Iron)</t>
  </si>
  <si>
    <t xml:space="preserve">T7 </t>
  </si>
  <si>
    <t xml:space="preserve">T6 </t>
  </si>
  <si>
    <t xml:space="preserve">T5 </t>
  </si>
  <si>
    <t xml:space="preserve">T4 </t>
  </si>
  <si>
    <t xml:space="preserve">T3 </t>
  </si>
  <si>
    <t xml:space="preserve">T2 </t>
  </si>
  <si>
    <t xml:space="preserve">T1 </t>
  </si>
  <si>
    <t>Experts</t>
  </si>
  <si>
    <t>Sigils</t>
  </si>
  <si>
    <t>Books of Knowledge</t>
  </si>
  <si>
    <t>Beasts</t>
  </si>
  <si>
    <t>Level 1-10</t>
  </si>
  <si>
    <t>Level 11-15</t>
  </si>
  <si>
    <t>Level 16-20</t>
  </si>
  <si>
    <t>Pet Advancement</t>
  </si>
  <si>
    <t>Level 21-25</t>
  </si>
  <si>
    <t>Pet Refine</t>
  </si>
  <si>
    <t>Level 26-30</t>
  </si>
  <si>
    <t>Hunting Beasts</t>
  </si>
  <si>
    <t>Polar terrors</t>
  </si>
  <si>
    <t>Gina:No Gina</t>
  </si>
  <si>
    <t>Rallies</t>
  </si>
  <si>
    <t xml:space="preserve">Enter "1" </t>
  </si>
  <si>
    <t>1:0 (Gina Only)</t>
  </si>
  <si>
    <t>Level 1-6</t>
  </si>
  <si>
    <t>1:1</t>
  </si>
  <si>
    <t>Stamina Calculator</t>
  </si>
  <si>
    <t>1:2</t>
  </si>
  <si>
    <t>Starting Stamina</t>
  </si>
  <si>
    <t>1:3</t>
  </si>
  <si>
    <t>Chief Stamina (inside bag)</t>
  </si>
  <si>
    <t>1:4</t>
  </si>
  <si>
    <t>Total Stamina</t>
  </si>
  <si>
    <t>1:5</t>
  </si>
  <si>
    <t>0:6 (No Gina)</t>
  </si>
  <si>
    <t xml:space="preserve">How to use Stamina Calculator: </t>
  </si>
  <si>
    <t>1) Enter starting Stamina and Chief stamina in bag on left</t>
  </si>
  <si>
    <t>Pet advancement</t>
  </si>
  <si>
    <t xml:space="preserve">2) Pick Ratio of Gina vs Non Gina waves sent (if you have 6 marchs for example and want to continuous send all marches out, then select 1:5 ratio. </t>
  </si>
  <si>
    <t>Level 10</t>
  </si>
  <si>
    <t>Level 20</t>
  </si>
  <si>
    <t>Level 30</t>
  </si>
  <si>
    <t>3) Put a "1" in the green column corresponding to the ratio row to automatically generate the score to add in your daily total. Eg put a "1" in Cell M16 for 1:5 ratio.</t>
  </si>
  <si>
    <t>Level 40</t>
  </si>
  <si>
    <t>Level 50</t>
  </si>
  <si>
    <t>Level 60</t>
  </si>
  <si>
    <t>Level 70</t>
  </si>
  <si>
    <t>Level 80</t>
  </si>
  <si>
    <t>Level 90</t>
  </si>
  <si>
    <t>Level 100</t>
  </si>
  <si>
    <t>Pet Refining</t>
  </si>
  <si>
    <t>Common Wild Marks</t>
  </si>
  <si>
    <t>Advanced Wild Marks</t>
  </si>
  <si>
    <t>Widgets</t>
  </si>
  <si>
    <t>Essence Stones</t>
  </si>
  <si>
    <t>Mithril</t>
  </si>
  <si>
    <t>T1-11</t>
  </si>
  <si>
    <t>Troops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</si>
  <si>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</si>
  <si>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</si>
  <si>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</si>
  <si>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</si>
  <si>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</si>
  <si>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</si>
  <si>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</si>
  <si>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</si>
  <si>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</si>
  <si>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</si>
  <si>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</si>
  <si>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Uncommon</t>
  </si>
  <si>
    <t>Uncommon 1*</t>
  </si>
  <si>
    <t>Rare 1*</t>
  </si>
  <si>
    <t>Rare 2*</t>
  </si>
  <si>
    <t>Rare 3*</t>
  </si>
  <si>
    <t>Epic 1*</t>
  </si>
  <si>
    <t>Epic 2*</t>
  </si>
  <si>
    <t>Epic 3*</t>
  </si>
  <si>
    <t>Epic T1</t>
  </si>
  <si>
    <t>Epic T1 1*</t>
  </si>
  <si>
    <t>Epic T1 2*</t>
  </si>
  <si>
    <t>Epic T1 3*</t>
  </si>
  <si>
    <t>Mythic (all level)</t>
  </si>
  <si>
    <t>Legendary (all level)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</si>
</sst>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??_ ;_ @_ "/>
    <numFmt numFmtId="165" formatCode="_ * #,##0.00_ ;_ * \-#,##0.00_ ;_ * &quot;-&quot;??_ ;_ @_ 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3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right/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bottom/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4" fillId="2" fontId="1" numFmtId="0" xfId="0" applyAlignment="1" applyBorder="1" applyFill="1" applyFont="1">
      <alignment vertical="center"/>
    </xf>
    <xf borderId="5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vertical="center"/>
    </xf>
    <xf borderId="8" fillId="0" fontId="1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2" fontId="1" numFmtId="0" xfId="0" applyAlignment="1" applyBorder="1" applyFont="1">
      <alignment vertical="center"/>
    </xf>
    <xf borderId="11" fillId="2" fontId="3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4" fillId="3" fontId="1" numFmtId="164" xfId="0" applyAlignment="1" applyBorder="1" applyFill="1" applyFont="1" applyNumberFormat="1">
      <alignment vertical="center"/>
    </xf>
    <xf borderId="0" fillId="0" fontId="4" numFmtId="0" xfId="0" applyAlignment="1" applyFont="1">
      <alignment vertical="center"/>
    </xf>
    <xf borderId="12" fillId="4" fontId="2" numFmtId="0" xfId="0" applyAlignment="1" applyBorder="1" applyFill="1" applyFont="1">
      <alignment vertical="center"/>
    </xf>
    <xf borderId="12" fillId="3" fontId="2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7" fillId="2" fontId="2" numFmtId="0" xfId="0" applyAlignment="1" applyBorder="1" applyFont="1">
      <alignment vertical="center"/>
    </xf>
    <xf borderId="17" fillId="2" fontId="3" numFmtId="0" xfId="0" applyAlignment="1" applyBorder="1" applyFont="1">
      <alignment horizontal="center" vertical="center"/>
    </xf>
    <xf borderId="18" fillId="2" fontId="2" numFmtId="0" xfId="0" applyAlignment="1" applyBorder="1" applyFont="1">
      <alignment vertical="center"/>
    </xf>
    <xf borderId="19" fillId="0" fontId="1" numFmtId="0" xfId="0" applyAlignment="1" applyBorder="1" applyFont="1">
      <alignment readingOrder="0" vertical="center"/>
    </xf>
    <xf borderId="20" fillId="0" fontId="1" numFmtId="0" xfId="0" applyAlignment="1" applyBorder="1" applyFont="1">
      <alignment vertical="center"/>
    </xf>
    <xf borderId="20" fillId="0" fontId="3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12" fillId="3" fontId="1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22" fillId="0" fontId="1" numFmtId="164" xfId="0" applyAlignment="1" applyBorder="1" applyFont="1" applyNumberFormat="1">
      <alignment vertical="center"/>
    </xf>
    <xf borderId="23" fillId="0" fontId="1" numFmtId="0" xfId="0" applyAlignment="1" applyBorder="1" applyFont="1">
      <alignment vertical="center"/>
    </xf>
    <xf borderId="8" fillId="0" fontId="1" numFmtId="164" xfId="0" applyAlignment="1" applyBorder="1" applyFont="1" applyNumberFormat="1">
      <alignment vertical="center"/>
    </xf>
    <xf borderId="6" fillId="4" fontId="1" numFmtId="164" xfId="0" applyAlignment="1" applyBorder="1" applyFont="1" applyNumberFormat="1">
      <alignment vertical="center"/>
    </xf>
    <xf borderId="23" fillId="0" fontId="1" numFmtId="164" xfId="0" applyAlignment="1" applyBorder="1" applyFont="1" applyNumberFormat="1">
      <alignment vertical="center"/>
    </xf>
    <xf borderId="12" fillId="4" fontId="1" numFmtId="164" xfId="0" applyAlignment="1" applyBorder="1" applyFont="1" applyNumberFormat="1">
      <alignment vertical="center"/>
    </xf>
    <xf borderId="19" fillId="0" fontId="1" numFmtId="164" xfId="0" applyAlignment="1" applyBorder="1" applyFont="1" applyNumberFormat="1">
      <alignment vertical="center"/>
    </xf>
    <xf borderId="20" fillId="0" fontId="1" numFmtId="164" xfId="0" applyAlignment="1" applyBorder="1" applyFont="1" applyNumberFormat="1">
      <alignment vertical="center"/>
    </xf>
    <xf borderId="21" fillId="0" fontId="1" numFmtId="164" xfId="0" applyAlignment="1" applyBorder="1" applyFont="1" applyNumberFormat="1">
      <alignment vertical="center"/>
    </xf>
    <xf borderId="24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vertical="center"/>
    </xf>
    <xf borderId="25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6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vertical="center"/>
    </xf>
    <xf borderId="27" fillId="4" fontId="1" numFmtId="164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vertical="center"/>
    </xf>
    <xf borderId="3" fillId="0" fontId="1" numFmtId="164" xfId="0" applyAlignment="1" applyBorder="1" applyFont="1" applyNumberFormat="1">
      <alignment vertical="center"/>
    </xf>
    <xf borderId="19" fillId="0" fontId="1" numFmtId="0" xfId="0" applyAlignment="1" applyBorder="1" applyFont="1">
      <alignment horizontal="center" vertical="center"/>
    </xf>
    <xf borderId="28" fillId="0" fontId="2" numFmtId="164" xfId="0" applyAlignment="1" applyBorder="1" applyFont="1" applyNumberFormat="1">
      <alignment vertical="center"/>
    </xf>
    <xf borderId="28" fillId="0" fontId="1" numFmtId="164" xfId="0" applyAlignment="1" applyBorder="1" applyFont="1" applyNumberFormat="1">
      <alignment vertical="center"/>
    </xf>
    <xf borderId="8" fillId="0" fontId="1" numFmtId="164" xfId="0" applyAlignment="1" applyBorder="1" applyFont="1" applyNumberForma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19" fillId="0" fontId="1" numFmtId="0" xfId="0" applyAlignment="1" applyBorder="1" applyFont="1">
      <alignment horizontal="left" readingOrder="0" vertical="center"/>
    </xf>
    <xf borderId="20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vertical="center"/>
    </xf>
    <xf borderId="1" fillId="0" fontId="1" numFmtId="164" xfId="0" applyAlignment="1" applyBorder="1" applyFont="1" applyNumberFormat="1">
      <alignment vertical="center"/>
    </xf>
    <xf borderId="28" fillId="0" fontId="1" numFmtId="16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19" fillId="0" fontId="1" numFmtId="164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19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readingOrder="0" vertical="center"/>
    </xf>
    <xf borderId="6" fillId="4" fontId="1" numFmtId="164" xfId="0" applyAlignment="1" applyBorder="1" applyFont="1" applyNumberFormat="1">
      <alignment readingOrder="0" vertical="center"/>
    </xf>
    <xf borderId="26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readingOrder="0" vertical="center"/>
    </xf>
    <xf borderId="27" fillId="4" fontId="1" numFmtId="164" xfId="0" applyAlignment="1" applyBorder="1" applyFont="1" applyNumberFormat="1">
      <alignment readingOrder="0" vertical="center"/>
    </xf>
    <xf borderId="29" fillId="3" fontId="1" numFmtId="164" xfId="0" applyAlignment="1" applyBorder="1" applyFont="1" applyNumberFormat="1">
      <alignment vertical="center"/>
    </xf>
    <xf borderId="24" fillId="0" fontId="2" numFmtId="0" xfId="0" applyAlignment="1" applyBorder="1" applyFont="1">
      <alignment vertical="center"/>
    </xf>
    <xf borderId="22" fillId="4" fontId="1" numFmtId="164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9" fillId="0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vertical="center"/>
    </xf>
    <xf borderId="8" fillId="0" fontId="1" numFmtId="49" xfId="0" applyAlignment="1" applyBorder="1" applyFont="1" applyNumberFormat="1">
      <alignment vertical="center"/>
    </xf>
    <xf borderId="13" fillId="4" fontId="1" numFmtId="164" xfId="0" applyAlignment="1" applyBorder="1" applyFont="1" applyNumberFormat="1">
      <alignment vertical="center"/>
    </xf>
    <xf borderId="19" fillId="0" fontId="1" numFmtId="49" xfId="0" applyAlignment="1" applyBorder="1" applyFont="1" applyNumberFormat="1">
      <alignment vertical="center"/>
    </xf>
    <xf borderId="0" fillId="0" fontId="1" numFmtId="49" xfId="0" applyAlignment="1" applyFont="1" applyNumberFormat="1">
      <alignment vertical="center"/>
    </xf>
    <xf borderId="24" fillId="0" fontId="2" numFmtId="0" xfId="0" applyAlignment="1" applyBorder="1" applyFont="1">
      <alignment horizontal="center" vertical="center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5" fillId="0" fontId="1" numFmtId="0" xfId="0" applyAlignment="1" applyBorder="1" applyFont="1">
      <alignment horizontal="left" vertical="center"/>
    </xf>
    <xf borderId="9" fillId="0" fontId="5" numFmtId="0" xfId="0" applyAlignment="1" applyBorder="1" applyFont="1">
      <alignment vertical="center"/>
    </xf>
    <xf borderId="24" fillId="0" fontId="1" numFmtId="164" xfId="0" applyAlignment="1" applyBorder="1" applyFont="1" applyNumberFormat="1">
      <alignment vertical="center"/>
    </xf>
    <xf borderId="25" fillId="0" fontId="1" numFmtId="0" xfId="0" applyAlignment="1" applyBorder="1" applyFont="1">
      <alignment horizontal="left" shrinkToFit="0" vertical="center" wrapText="1"/>
    </xf>
    <xf borderId="25" fillId="0" fontId="1" numFmtId="164" xfId="0" applyAlignment="1" applyBorder="1" applyFont="1" applyNumberFormat="1">
      <alignment vertical="center"/>
    </xf>
    <xf borderId="0" fillId="4" fontId="1" numFmtId="164" xfId="0" applyAlignment="1" applyFont="1" applyNumberFormat="1">
      <alignment vertical="center"/>
    </xf>
    <xf borderId="25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  <xf borderId="0" fillId="4" fontId="1" numFmtId="164" xfId="0" applyAlignment="1" applyFont="1" applyNumberFormat="1">
      <alignment readingOrder="0" vertical="center"/>
    </xf>
    <xf borderId="26" fillId="0" fontId="1" numFmtId="164" xfId="0" applyAlignment="1" applyBorder="1" applyFont="1" applyNumberFormat="1">
      <alignment vertical="center"/>
    </xf>
    <xf borderId="20" fillId="4" fontId="1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vertical="center"/>
    </xf>
    <xf borderId="0" fillId="0" fontId="4" numFmtId="1" xfId="0" applyAlignment="1" applyFont="1" applyNumberFormat="1">
      <alignment readingOrder="0" vertical="center"/>
    </xf>
    <xf borderId="12" fillId="4" fontId="1" numFmtId="164" xfId="0" applyAlignment="1" applyBorder="1" applyFont="1" applyNumberFormat="1">
      <alignment readingOrder="0" vertical="center"/>
    </xf>
    <xf borderId="20" fillId="0" fontId="1" numFmtId="0" xfId="0" applyAlignment="1" applyBorder="1" applyFont="1">
      <alignment horizontal="center" vertical="center"/>
    </xf>
    <xf borderId="28" fillId="0" fontId="1" numFmtId="164" xfId="0" applyAlignment="1" applyBorder="1" applyFont="1" applyNumberFormat="1">
      <alignment horizontal="left" vertical="center"/>
    </xf>
    <xf borderId="0" fillId="0" fontId="1" numFmtId="0" xfId="0" applyAlignment="1" applyFont="1">
      <alignment readingOrder="0" vertical="center"/>
    </xf>
    <xf borderId="19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0"/>
    <col customWidth="1" min="3" max="8" width="5.86"/>
    <col customWidth="1" min="9" max="9" width="33.71"/>
    <col customWidth="1" min="10" max="10" width="12.57"/>
    <col customWidth="1" min="11" max="11" width="33.71"/>
    <col customWidth="1" min="12" max="12" width="14.86"/>
    <col customWidth="1" min="13" max="26" width="9.14"/>
  </cols>
  <sheetData>
    <row r="2">
      <c r="B2" s="1" t="s">
        <v>0</v>
      </c>
      <c r="C2" s="2">
        <v>1.0</v>
      </c>
      <c r="D2" s="2">
        <v>2.0</v>
      </c>
      <c r="E2" s="2">
        <v>3.0</v>
      </c>
      <c r="F2" s="2">
        <v>4.0</v>
      </c>
      <c r="G2" s="3">
        <v>5.0</v>
      </c>
      <c r="I2" s="1" t="s">
        <v>1</v>
      </c>
      <c r="J2" s="4" t="s">
        <v>2</v>
      </c>
      <c r="K2" s="5" t="s">
        <v>3</v>
      </c>
    </row>
    <row r="3">
      <c r="B3" s="6" t="s">
        <v>4</v>
      </c>
      <c r="C3" s="7" t="s">
        <v>5</v>
      </c>
      <c r="D3" s="8" t="s">
        <v>5</v>
      </c>
      <c r="E3" s="8"/>
      <c r="F3" s="8"/>
      <c r="G3" s="9" t="s">
        <v>5</v>
      </c>
      <c r="I3" s="10" t="s">
        <v>6</v>
      </c>
      <c r="J3" s="11">
        <f>'Day 1'!E2</f>
        <v>0</v>
      </c>
      <c r="K3" s="12">
        <v>200000.0</v>
      </c>
    </row>
    <row r="4">
      <c r="B4" s="13" t="s">
        <v>7</v>
      </c>
      <c r="C4" s="14" t="s">
        <v>5</v>
      </c>
      <c r="D4" s="5" t="s">
        <v>5</v>
      </c>
      <c r="E4" s="5"/>
      <c r="F4" s="5"/>
      <c r="G4" s="15" t="s">
        <v>5</v>
      </c>
      <c r="I4" s="10" t="s">
        <v>8</v>
      </c>
      <c r="J4" s="11">
        <f>'Day 2'!E2</f>
        <v>0</v>
      </c>
      <c r="K4" s="12">
        <v>270000.0</v>
      </c>
    </row>
    <row r="5">
      <c r="B5" s="16" t="s">
        <v>9</v>
      </c>
      <c r="C5" s="17" t="s">
        <v>5</v>
      </c>
      <c r="D5" s="18" t="s">
        <v>5</v>
      </c>
      <c r="E5" s="18"/>
      <c r="F5" s="18"/>
      <c r="G5" s="19" t="s">
        <v>5</v>
      </c>
      <c r="I5" s="10" t="s">
        <v>10</v>
      </c>
      <c r="J5" s="11">
        <f>'Day 3'!E2</f>
        <v>0</v>
      </c>
      <c r="K5" s="12">
        <v>300000.0</v>
      </c>
    </row>
    <row r="6">
      <c r="B6" s="13" t="s">
        <v>11</v>
      </c>
      <c r="C6" s="5"/>
      <c r="D6" s="14" t="s">
        <v>5</v>
      </c>
      <c r="E6" s="5" t="s">
        <v>5</v>
      </c>
      <c r="F6" s="5"/>
      <c r="G6" s="20"/>
      <c r="I6" s="10" t="s">
        <v>12</v>
      </c>
      <c r="J6" s="11">
        <f>'Day 4'!E2</f>
        <v>0</v>
      </c>
      <c r="K6" s="12">
        <v>300000.0</v>
      </c>
    </row>
    <row r="7">
      <c r="B7" s="16" t="s">
        <v>13</v>
      </c>
      <c r="C7" s="21"/>
      <c r="D7" s="22" t="s">
        <v>5</v>
      </c>
      <c r="E7" s="18" t="s">
        <v>5</v>
      </c>
      <c r="F7" s="18"/>
      <c r="G7" s="23"/>
      <c r="I7" s="10" t="s">
        <v>14</v>
      </c>
      <c r="J7" s="11">
        <f>'Day 5'!E2</f>
        <v>0</v>
      </c>
      <c r="K7" s="24" t="s">
        <v>15</v>
      </c>
    </row>
    <row r="8">
      <c r="B8" s="13" t="s">
        <v>16</v>
      </c>
      <c r="C8" s="5"/>
      <c r="D8" s="5"/>
      <c r="E8" s="5"/>
      <c r="F8" s="5" t="s">
        <v>5</v>
      </c>
      <c r="G8" s="15" t="s">
        <v>5</v>
      </c>
      <c r="I8" s="25" t="s">
        <v>17</v>
      </c>
      <c r="J8" s="26">
        <f>SUM(J3:J7)</f>
        <v>0</v>
      </c>
      <c r="K8" s="12">
        <v>250000.0</v>
      </c>
      <c r="L8" s="27" t="s">
        <v>18</v>
      </c>
    </row>
    <row r="9">
      <c r="B9" s="16" t="s">
        <v>19</v>
      </c>
      <c r="C9" s="17" t="s">
        <v>5</v>
      </c>
      <c r="D9" s="18" t="s">
        <v>5</v>
      </c>
      <c r="E9" s="18"/>
      <c r="F9" s="18"/>
      <c r="G9" s="19" t="s">
        <v>5</v>
      </c>
    </row>
    <row r="10">
      <c r="B10" s="13" t="s">
        <v>20</v>
      </c>
      <c r="C10" s="5"/>
      <c r="D10" s="5"/>
      <c r="E10" s="5"/>
      <c r="F10" s="14" t="s">
        <v>5</v>
      </c>
      <c r="G10" s="20"/>
    </row>
    <row r="11">
      <c r="B11" s="16" t="s">
        <v>21</v>
      </c>
      <c r="C11" s="21" t="s">
        <v>5</v>
      </c>
      <c r="D11" s="18"/>
      <c r="E11" s="18" t="s">
        <v>5</v>
      </c>
      <c r="F11" s="22" t="s">
        <v>5</v>
      </c>
      <c r="G11" s="23"/>
      <c r="I11" s="28" t="s">
        <v>22</v>
      </c>
    </row>
    <row r="12">
      <c r="B12" s="13" t="s">
        <v>23</v>
      </c>
      <c r="C12" s="5"/>
      <c r="D12" s="5"/>
      <c r="E12" s="5"/>
      <c r="F12" s="5"/>
      <c r="G12" s="15" t="s">
        <v>5</v>
      </c>
      <c r="I12" s="29" t="s">
        <v>24</v>
      </c>
    </row>
    <row r="13">
      <c r="B13" s="16" t="s">
        <v>25</v>
      </c>
      <c r="C13" s="21"/>
      <c r="D13" s="22" t="s">
        <v>5</v>
      </c>
      <c r="E13" s="18"/>
      <c r="F13" s="18"/>
      <c r="G13" s="23"/>
    </row>
    <row r="14">
      <c r="B14" s="13" t="s">
        <v>26</v>
      </c>
      <c r="C14" s="5"/>
      <c r="D14" s="5"/>
      <c r="E14" s="5" t="s">
        <v>5</v>
      </c>
      <c r="F14" s="5"/>
      <c r="G14" s="15" t="s">
        <v>5</v>
      </c>
    </row>
    <row r="15">
      <c r="B15" s="30" t="s">
        <v>27</v>
      </c>
      <c r="C15" s="31"/>
      <c r="D15" s="32"/>
      <c r="E15" s="33" t="s">
        <v>5</v>
      </c>
      <c r="F15" s="32"/>
      <c r="G15" s="34"/>
    </row>
    <row r="16">
      <c r="B16" s="35" t="s">
        <v>28</v>
      </c>
      <c r="C16" s="36"/>
      <c r="D16" s="37" t="s">
        <v>5</v>
      </c>
      <c r="E16" s="37" t="s">
        <v>5</v>
      </c>
      <c r="F16" s="36"/>
      <c r="G16" s="38"/>
    </row>
    <row r="17">
      <c r="B17" s="39" t="s">
        <v>29</v>
      </c>
      <c r="K17" s="40" t="s">
        <v>30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7:F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57"/>
    <col customWidth="1" min="3" max="3" width="8.14"/>
    <col customWidth="1" min="4" max="4" width="15.29"/>
    <col customWidth="1" min="5" max="5" width="16.71"/>
    <col customWidth="1" min="6" max="26" width="9.14"/>
  </cols>
  <sheetData>
    <row r="2">
      <c r="B2" s="12"/>
      <c r="C2" s="12"/>
      <c r="D2" s="12" t="s">
        <v>31</v>
      </c>
      <c r="E2" s="41">
        <f>SUM(E4:E8)</f>
        <v>0</v>
      </c>
    </row>
    <row r="3">
      <c r="B3" s="42" t="s">
        <v>6</v>
      </c>
      <c r="C3" s="43"/>
      <c r="D3" s="43" t="s">
        <v>32</v>
      </c>
      <c r="E3" s="44" t="s">
        <v>2</v>
      </c>
    </row>
    <row r="4">
      <c r="B4" s="45" t="s">
        <v>4</v>
      </c>
      <c r="C4" s="43">
        <v>2000.0</v>
      </c>
      <c r="D4" s="46"/>
      <c r="E4" s="47">
        <f t="shared" ref="E4:E6" si="1">D4*C4</f>
        <v>0</v>
      </c>
    </row>
    <row r="5">
      <c r="B5" s="45" t="s">
        <v>7</v>
      </c>
      <c r="C5" s="12">
        <v>1000.0</v>
      </c>
      <c r="D5" s="48"/>
      <c r="E5" s="11">
        <f t="shared" si="1"/>
        <v>0</v>
      </c>
    </row>
    <row r="6">
      <c r="B6" s="45" t="s">
        <v>9</v>
      </c>
      <c r="C6" s="12">
        <v>30000.0</v>
      </c>
      <c r="D6" s="48"/>
      <c r="E6" s="11">
        <f t="shared" si="1"/>
        <v>0</v>
      </c>
    </row>
    <row r="7">
      <c r="B7" s="45" t="s">
        <v>33</v>
      </c>
      <c r="C7" s="12">
        <v>30.0</v>
      </c>
      <c r="D7" s="12" t="s">
        <v>34</v>
      </c>
      <c r="E7" s="11">
        <f>E14</f>
        <v>0</v>
      </c>
    </row>
    <row r="8">
      <c r="B8" s="49" t="s">
        <v>21</v>
      </c>
      <c r="C8" s="50">
        <v>70.0</v>
      </c>
      <c r="D8" s="50" t="s">
        <v>34</v>
      </c>
      <c r="E8" s="51">
        <f>E28</f>
        <v>0</v>
      </c>
    </row>
    <row r="9">
      <c r="B9" s="12"/>
      <c r="C9" s="12"/>
      <c r="D9" s="12"/>
    </row>
    <row r="10">
      <c r="B10" s="27" t="s">
        <v>19</v>
      </c>
    </row>
    <row r="11">
      <c r="B11" s="52" t="s">
        <v>35</v>
      </c>
      <c r="C11" s="53">
        <f>24*60*30</f>
        <v>43200</v>
      </c>
      <c r="D11" s="46"/>
      <c r="E11" s="47">
        <f t="shared" ref="E11:E13" si="2">C11*D11</f>
        <v>0</v>
      </c>
    </row>
    <row r="12">
      <c r="B12" s="54" t="s">
        <v>36</v>
      </c>
      <c r="C12" s="55">
        <f>60*30</f>
        <v>1800</v>
      </c>
      <c r="D12" s="48"/>
      <c r="E12" s="11">
        <f t="shared" si="2"/>
        <v>0</v>
      </c>
    </row>
    <row r="13">
      <c r="B13" s="56" t="s">
        <v>37</v>
      </c>
      <c r="C13" s="57">
        <f>30</f>
        <v>30</v>
      </c>
      <c r="D13" s="58"/>
      <c r="E13" s="51">
        <f t="shared" si="2"/>
        <v>0</v>
      </c>
    </row>
    <row r="14">
      <c r="E14" s="41">
        <f>SUM(E11:E13)</f>
        <v>0</v>
      </c>
    </row>
    <row r="16">
      <c r="B16" s="1" t="s">
        <v>38</v>
      </c>
      <c r="C16" s="59" t="s">
        <v>2</v>
      </c>
      <c r="D16" s="59" t="s">
        <v>39</v>
      </c>
      <c r="E16" s="60" t="s">
        <v>2</v>
      </c>
    </row>
    <row r="17">
      <c r="B17" s="10">
        <v>1.0</v>
      </c>
      <c r="C17" s="12">
        <v>625.0</v>
      </c>
      <c r="D17" s="48"/>
      <c r="E17" s="11">
        <f t="shared" ref="E17:E27" si="3">C17*D17*70</f>
        <v>0</v>
      </c>
    </row>
    <row r="18">
      <c r="B18" s="10">
        <v>2.0</v>
      </c>
      <c r="C18" s="12">
        <v>1250.0</v>
      </c>
      <c r="D18" s="48"/>
      <c r="E18" s="11">
        <f t="shared" si="3"/>
        <v>0</v>
      </c>
    </row>
    <row r="19">
      <c r="B19" s="10">
        <v>3.0</v>
      </c>
      <c r="C19" s="12">
        <v>3125.0</v>
      </c>
      <c r="D19" s="48"/>
      <c r="E19" s="11">
        <f t="shared" si="3"/>
        <v>0</v>
      </c>
    </row>
    <row r="20">
      <c r="B20" s="10">
        <v>4.0</v>
      </c>
      <c r="C20" s="12">
        <v>8750.0</v>
      </c>
      <c r="D20" s="48"/>
      <c r="E20" s="11">
        <f t="shared" si="3"/>
        <v>0</v>
      </c>
    </row>
    <row r="21" ht="15.75" customHeight="1">
      <c r="B21" s="10">
        <v>5.0</v>
      </c>
      <c r="C21" s="12">
        <v>11250.0</v>
      </c>
      <c r="D21" s="48"/>
      <c r="E21" s="11">
        <f t="shared" si="3"/>
        <v>0</v>
      </c>
    </row>
    <row r="22" ht="15.75" customHeight="1">
      <c r="B22" s="10">
        <v>6.0</v>
      </c>
      <c r="C22" s="12">
        <v>12500.0</v>
      </c>
      <c r="D22" s="48"/>
      <c r="E22" s="11">
        <f t="shared" si="3"/>
        <v>0</v>
      </c>
    </row>
    <row r="23" ht="15.75" customHeight="1">
      <c r="B23" s="10">
        <v>7.0</v>
      </c>
      <c r="C23" s="12">
        <v>12500.0</v>
      </c>
      <c r="D23" s="48"/>
      <c r="E23" s="11">
        <f t="shared" si="3"/>
        <v>0</v>
      </c>
    </row>
    <row r="24" ht="15.75" customHeight="1">
      <c r="B24" s="10">
        <v>8.0</v>
      </c>
      <c r="C24" s="12">
        <v>13000.0</v>
      </c>
      <c r="D24" s="48"/>
      <c r="E24" s="11">
        <f t="shared" si="3"/>
        <v>0</v>
      </c>
    </row>
    <row r="25" ht="15.75" customHeight="1">
      <c r="B25" s="10">
        <v>9.0</v>
      </c>
      <c r="C25" s="12">
        <v>14000.0</v>
      </c>
      <c r="D25" s="48"/>
      <c r="E25" s="11">
        <f t="shared" si="3"/>
        <v>0</v>
      </c>
    </row>
    <row r="26" ht="15.75" customHeight="1">
      <c r="B26" s="10">
        <v>10.0</v>
      </c>
      <c r="C26" s="12">
        <v>15000.0</v>
      </c>
      <c r="D26" s="48"/>
      <c r="E26" s="11">
        <f t="shared" si="3"/>
        <v>0</v>
      </c>
    </row>
    <row r="27" ht="15.75" customHeight="1">
      <c r="B27" s="61">
        <v>11.0</v>
      </c>
      <c r="C27" s="50">
        <v>16000.0</v>
      </c>
      <c r="D27" s="58"/>
      <c r="E27" s="51">
        <f t="shared" si="3"/>
        <v>0</v>
      </c>
    </row>
    <row r="28" ht="15.75" customHeight="1">
      <c r="C28" s="12"/>
      <c r="D28" s="12"/>
      <c r="E28" s="41">
        <f>SUM(E17:E27)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57"/>
    <col customWidth="1" min="3" max="3" width="8.0"/>
    <col customWidth="1" min="4" max="4" width="13.14"/>
    <col customWidth="1" min="5" max="5" width="26.86"/>
    <col customWidth="1" min="6" max="6" width="12.14"/>
    <col customWidth="1" min="7" max="26" width="9.14"/>
  </cols>
  <sheetData>
    <row r="2">
      <c r="B2" s="12"/>
      <c r="C2" s="12"/>
      <c r="D2" s="12" t="s">
        <v>31</v>
      </c>
      <c r="E2" s="41">
        <f>SUM(E4:E11)</f>
        <v>0</v>
      </c>
    </row>
    <row r="3">
      <c r="B3" s="62" t="s">
        <v>8</v>
      </c>
      <c r="C3" s="43"/>
      <c r="D3" s="43" t="s">
        <v>32</v>
      </c>
      <c r="E3" s="44" t="s">
        <v>2</v>
      </c>
    </row>
    <row r="4">
      <c r="B4" s="63" t="s">
        <v>4</v>
      </c>
      <c r="C4" s="43">
        <v>2000.0</v>
      </c>
      <c r="D4" s="46"/>
      <c r="E4" s="47">
        <f t="shared" ref="E4:E7" si="1">D4*C4</f>
        <v>0</v>
      </c>
    </row>
    <row r="5">
      <c r="B5" s="45" t="s">
        <v>7</v>
      </c>
      <c r="C5" s="12">
        <v>1000.0</v>
      </c>
      <c r="D5" s="48"/>
      <c r="E5" s="11">
        <f t="shared" si="1"/>
        <v>0</v>
      </c>
    </row>
    <row r="6">
      <c r="B6" s="45" t="s">
        <v>9</v>
      </c>
      <c r="C6" s="12">
        <v>30000.0</v>
      </c>
      <c r="D6" s="48"/>
      <c r="E6" s="11">
        <f t="shared" si="1"/>
        <v>0</v>
      </c>
    </row>
    <row r="7">
      <c r="B7" s="13" t="s">
        <v>11</v>
      </c>
      <c r="C7" s="27">
        <v>8000.0</v>
      </c>
      <c r="D7" s="48"/>
      <c r="E7" s="11">
        <f t="shared" si="1"/>
        <v>0</v>
      </c>
    </row>
    <row r="8">
      <c r="B8" s="64" t="s">
        <v>13</v>
      </c>
      <c r="C8" s="24" t="s">
        <v>40</v>
      </c>
      <c r="D8" s="12" t="s">
        <v>34</v>
      </c>
      <c r="E8" s="11">
        <f>E17</f>
        <v>0</v>
      </c>
      <c r="H8" s="24"/>
      <c r="I8" s="24"/>
      <c r="J8" s="12"/>
      <c r="K8" s="12"/>
    </row>
    <row r="9">
      <c r="B9" s="45" t="s">
        <v>33</v>
      </c>
      <c r="C9" s="12">
        <v>30.0</v>
      </c>
      <c r="D9" s="12" t="s">
        <v>34</v>
      </c>
      <c r="E9" s="11">
        <f>E22</f>
        <v>0</v>
      </c>
    </row>
    <row r="10">
      <c r="B10" s="65" t="s">
        <v>25</v>
      </c>
      <c r="C10" s="66">
        <v>2.0</v>
      </c>
      <c r="D10" s="12" t="s">
        <v>34</v>
      </c>
      <c r="E10" s="11">
        <f>E32</f>
        <v>0</v>
      </c>
    </row>
    <row r="11">
      <c r="B11" s="67" t="s">
        <v>41</v>
      </c>
      <c r="C11" s="68" t="s">
        <v>40</v>
      </c>
      <c r="D11" s="50" t="s">
        <v>34</v>
      </c>
      <c r="E11" s="51">
        <f>E38</f>
        <v>0</v>
      </c>
    </row>
    <row r="12">
      <c r="B12" s="69"/>
      <c r="C12" s="66"/>
      <c r="D12" s="12"/>
      <c r="E12" s="12"/>
    </row>
    <row r="13">
      <c r="B13" s="70" t="s">
        <v>13</v>
      </c>
      <c r="C13" s="59"/>
      <c r="D13" s="59" t="s">
        <v>39</v>
      </c>
      <c r="E13" s="60" t="s">
        <v>2</v>
      </c>
    </row>
    <row r="14">
      <c r="B14" s="71" t="s">
        <v>42</v>
      </c>
      <c r="C14" s="43">
        <v>350.0</v>
      </c>
      <c r="D14" s="46"/>
      <c r="E14" s="47">
        <f t="shared" ref="E14:E16" si="2">D14*C14</f>
        <v>0</v>
      </c>
    </row>
    <row r="15">
      <c r="B15" s="72" t="s">
        <v>43</v>
      </c>
      <c r="C15" s="12">
        <v>1220.0</v>
      </c>
      <c r="D15" s="48"/>
      <c r="E15" s="11">
        <f t="shared" si="2"/>
        <v>0</v>
      </c>
    </row>
    <row r="16">
      <c r="B16" s="73" t="s">
        <v>44</v>
      </c>
      <c r="C16" s="50">
        <v>3040.0</v>
      </c>
      <c r="D16" s="58"/>
      <c r="E16" s="51">
        <f t="shared" si="2"/>
        <v>0</v>
      </c>
    </row>
    <row r="17">
      <c r="B17" s="12"/>
      <c r="C17" s="12"/>
      <c r="D17" s="12"/>
      <c r="E17" s="41">
        <f>SUM(E14:E16)</f>
        <v>0</v>
      </c>
    </row>
    <row r="18">
      <c r="B18" s="27" t="s">
        <v>19</v>
      </c>
    </row>
    <row r="19">
      <c r="B19" s="52" t="s">
        <v>35</v>
      </c>
      <c r="C19" s="53">
        <f>24*60*30</f>
        <v>43200</v>
      </c>
      <c r="D19" s="46"/>
      <c r="E19" s="47">
        <f t="shared" ref="E19:E21" si="3">C19*D19</f>
        <v>0</v>
      </c>
    </row>
    <row r="20">
      <c r="B20" s="54" t="s">
        <v>36</v>
      </c>
      <c r="C20" s="55">
        <f>60*30</f>
        <v>1800</v>
      </c>
      <c r="D20" s="48"/>
      <c r="E20" s="11">
        <f t="shared" si="3"/>
        <v>0</v>
      </c>
    </row>
    <row r="21">
      <c r="B21" s="56" t="s">
        <v>37</v>
      </c>
      <c r="C21" s="57">
        <f>30</f>
        <v>30</v>
      </c>
      <c r="D21" s="58"/>
      <c r="E21" s="51">
        <f t="shared" si="3"/>
        <v>0</v>
      </c>
    </row>
    <row r="22" ht="15.75" customHeight="1">
      <c r="E22" s="41">
        <f>SUM(E19:E21)</f>
        <v>0</v>
      </c>
    </row>
    <row r="23" ht="15.75" customHeight="1"/>
    <row r="24" ht="15.75" customHeight="1">
      <c r="B24" s="74" t="s">
        <v>25</v>
      </c>
      <c r="C24" s="75"/>
      <c r="D24" s="75" t="s">
        <v>45</v>
      </c>
      <c r="E24" s="44" t="s">
        <v>2</v>
      </c>
    </row>
    <row r="25" ht="15.75" customHeight="1">
      <c r="B25" s="74" t="s">
        <v>46</v>
      </c>
      <c r="C25" s="75">
        <v>28000.0</v>
      </c>
      <c r="D25" s="46"/>
      <c r="E25" s="47">
        <f t="shared" ref="E25:E32" si="4">C25*D25</f>
        <v>0</v>
      </c>
      <c r="F25" s="76"/>
    </row>
    <row r="26" ht="15.75" customHeight="1">
      <c r="B26" s="13" t="s">
        <v>47</v>
      </c>
      <c r="C26" s="27">
        <v>12000.0</v>
      </c>
      <c r="D26" s="48"/>
      <c r="E26" s="11">
        <f t="shared" si="4"/>
        <v>0</v>
      </c>
    </row>
    <row r="27" ht="15.75" customHeight="1">
      <c r="B27" s="13" t="s">
        <v>48</v>
      </c>
      <c r="C27" s="27">
        <v>6000.0</v>
      </c>
      <c r="D27" s="48"/>
      <c r="E27" s="11">
        <f t="shared" si="4"/>
        <v>0</v>
      </c>
    </row>
    <row r="28" ht="15.75" customHeight="1">
      <c r="B28" s="13" t="s">
        <v>49</v>
      </c>
      <c r="C28" s="27">
        <v>2400.0</v>
      </c>
      <c r="D28" s="48"/>
      <c r="E28" s="11">
        <f t="shared" si="4"/>
        <v>0</v>
      </c>
    </row>
    <row r="29" ht="15.75" customHeight="1">
      <c r="B29" s="13" t="s">
        <v>50</v>
      </c>
      <c r="C29" s="27">
        <v>1200.0</v>
      </c>
      <c r="D29" s="48"/>
      <c r="E29" s="11">
        <f t="shared" si="4"/>
        <v>0</v>
      </c>
    </row>
    <row r="30" ht="15.75" customHeight="1">
      <c r="B30" s="13" t="s">
        <v>51</v>
      </c>
      <c r="C30" s="27">
        <v>600.0</v>
      </c>
      <c r="D30" s="48"/>
      <c r="E30" s="11">
        <f t="shared" si="4"/>
        <v>0</v>
      </c>
    </row>
    <row r="31" ht="15.75" customHeight="1">
      <c r="B31" s="13" t="s">
        <v>52</v>
      </c>
      <c r="C31" s="27">
        <v>300.0</v>
      </c>
      <c r="D31" s="48"/>
      <c r="E31" s="11">
        <f t="shared" si="4"/>
        <v>0</v>
      </c>
    </row>
    <row r="32" ht="15.75" customHeight="1">
      <c r="B32" s="77" t="s">
        <v>53</v>
      </c>
      <c r="C32" s="36">
        <v>140.0</v>
      </c>
      <c r="D32" s="58"/>
      <c r="E32" s="51">
        <f t="shared" si="4"/>
        <v>0</v>
      </c>
    </row>
    <row r="33" ht="15.75" customHeight="1">
      <c r="E33" s="41">
        <f>SUM(E25:E32)</f>
        <v>0</v>
      </c>
    </row>
    <row r="34" ht="15.75" customHeight="1"/>
    <row r="35" ht="15.75" customHeight="1">
      <c r="B35" s="40" t="s">
        <v>54</v>
      </c>
    </row>
    <row r="36" ht="15.75" customHeight="1">
      <c r="B36" s="78" t="s">
        <v>55</v>
      </c>
      <c r="C36" s="79">
        <v>6000.0</v>
      </c>
      <c r="D36" s="80"/>
      <c r="E36" s="47">
        <f t="shared" ref="E36:E37" si="5">C36*D36</f>
        <v>0</v>
      </c>
    </row>
    <row r="37" ht="15.75" customHeight="1">
      <c r="B37" s="81" t="s">
        <v>56</v>
      </c>
      <c r="C37" s="82">
        <v>60.0</v>
      </c>
      <c r="D37" s="83"/>
      <c r="E37" s="51">
        <f t="shared" si="5"/>
        <v>0</v>
      </c>
    </row>
    <row r="38" ht="15.75" customHeight="1">
      <c r="E38" s="84">
        <f>SUM(E36:E37)</f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71"/>
    <col customWidth="1" min="3" max="3" width="9.14"/>
    <col customWidth="1" min="4" max="4" width="13.71"/>
    <col customWidth="1" min="5" max="5" width="10.57"/>
    <col customWidth="1" min="6" max="6" width="9.14"/>
    <col customWidth="1" min="7" max="7" width="26.57"/>
    <col customWidth="1" min="8" max="8" width="9.71"/>
    <col customWidth="1" min="9" max="9" width="12.0"/>
    <col customWidth="1" min="10" max="11" width="15.14"/>
    <col customWidth="1" min="12" max="12" width="13.29"/>
    <col customWidth="1" min="13" max="13" width="11.86"/>
    <col customWidth="1" min="14" max="14" width="10.57"/>
    <col customWidth="1" min="15" max="15" width="15.14"/>
    <col customWidth="1" min="16" max="16" width="9.14"/>
    <col customWidth="1" min="17" max="17" width="10.57"/>
    <col customWidth="1" min="18" max="26" width="9.14"/>
  </cols>
  <sheetData>
    <row r="2">
      <c r="E2" s="41">
        <f>SUM(E4:E11)</f>
        <v>0</v>
      </c>
      <c r="H2" s="12"/>
      <c r="I2" s="12"/>
    </row>
    <row r="3">
      <c r="B3" s="85" t="s">
        <v>10</v>
      </c>
      <c r="C3" s="53"/>
      <c r="D3" s="75" t="s">
        <v>32</v>
      </c>
      <c r="E3" s="44" t="s">
        <v>2</v>
      </c>
      <c r="G3" s="1" t="s">
        <v>57</v>
      </c>
      <c r="H3" s="59"/>
      <c r="I3" s="59" t="s">
        <v>45</v>
      </c>
      <c r="J3" s="60" t="s">
        <v>2</v>
      </c>
    </row>
    <row r="4">
      <c r="B4" s="71" t="s">
        <v>11</v>
      </c>
      <c r="C4" s="43">
        <v>8000.0</v>
      </c>
      <c r="D4" s="86"/>
      <c r="E4" s="47">
        <f>D4*C4</f>
        <v>0</v>
      </c>
      <c r="G4" s="13" t="s">
        <v>58</v>
      </c>
      <c r="H4" s="12">
        <v>9000.0</v>
      </c>
      <c r="I4" s="12"/>
      <c r="J4" s="11">
        <f t="shared" ref="J4:J8" si="1">I4*H4</f>
        <v>0</v>
      </c>
    </row>
    <row r="5">
      <c r="B5" s="72" t="s">
        <v>13</v>
      </c>
      <c r="C5" s="24" t="s">
        <v>40</v>
      </c>
      <c r="D5" s="12" t="s">
        <v>34</v>
      </c>
      <c r="E5" s="11">
        <f>E17</f>
        <v>0</v>
      </c>
      <c r="G5" s="13" t="s">
        <v>59</v>
      </c>
      <c r="H5" s="12">
        <v>9750.0</v>
      </c>
      <c r="I5" s="12"/>
      <c r="J5" s="11">
        <f t="shared" si="1"/>
        <v>0</v>
      </c>
    </row>
    <row r="6">
      <c r="B6" s="72" t="s">
        <v>21</v>
      </c>
      <c r="C6" s="12">
        <v>70.0</v>
      </c>
      <c r="D6" s="12" t="s">
        <v>34</v>
      </c>
      <c r="E6" s="11">
        <f>E37</f>
        <v>0</v>
      </c>
      <c r="G6" s="13" t="s">
        <v>60</v>
      </c>
      <c r="H6" s="12">
        <v>10500.0</v>
      </c>
      <c r="I6" s="12"/>
      <c r="J6" s="11">
        <f t="shared" si="1"/>
        <v>0</v>
      </c>
    </row>
    <row r="7">
      <c r="B7" s="72" t="s">
        <v>61</v>
      </c>
      <c r="C7" s="12">
        <v>50.0</v>
      </c>
      <c r="D7" s="12" t="s">
        <v>34</v>
      </c>
      <c r="E7" s="11">
        <f>J32</f>
        <v>0</v>
      </c>
      <c r="G7" s="13" t="s">
        <v>62</v>
      </c>
      <c r="H7" s="12">
        <v>11250.0</v>
      </c>
      <c r="I7" s="12"/>
      <c r="J7" s="11">
        <f t="shared" si="1"/>
        <v>0</v>
      </c>
    </row>
    <row r="8">
      <c r="B8" s="72" t="s">
        <v>63</v>
      </c>
      <c r="C8" s="12" t="s">
        <v>40</v>
      </c>
      <c r="D8" s="12" t="s">
        <v>34</v>
      </c>
      <c r="E8" s="11">
        <f>J38</f>
        <v>0</v>
      </c>
      <c r="G8" s="49" t="s">
        <v>64</v>
      </c>
      <c r="H8" s="50">
        <v>12000.0</v>
      </c>
      <c r="I8" s="50"/>
      <c r="J8" s="51">
        <f t="shared" si="1"/>
        <v>0</v>
      </c>
    </row>
    <row r="9">
      <c r="B9" s="72" t="s">
        <v>65</v>
      </c>
      <c r="C9" s="12" t="s">
        <v>40</v>
      </c>
      <c r="D9" s="12" t="s">
        <v>34</v>
      </c>
      <c r="E9" s="11">
        <f>J9</f>
        <v>0</v>
      </c>
      <c r="J9" s="41">
        <f>SUM(J4:J8)</f>
        <v>0</v>
      </c>
    </row>
    <row r="10">
      <c r="B10" s="72" t="s">
        <v>66</v>
      </c>
      <c r="C10" s="12">
        <v>30000.0</v>
      </c>
      <c r="D10" s="12" t="s">
        <v>34</v>
      </c>
      <c r="E10" s="11">
        <f>L18</f>
        <v>0</v>
      </c>
      <c r="J10" s="1" t="s">
        <v>67</v>
      </c>
      <c r="K10" s="87" t="s">
        <v>68</v>
      </c>
      <c r="L10" s="4" t="s">
        <v>2</v>
      </c>
      <c r="M10" s="88" t="s">
        <v>69</v>
      </c>
    </row>
    <row r="11">
      <c r="B11" s="89" t="s">
        <v>41</v>
      </c>
      <c r="C11" s="68" t="s">
        <v>40</v>
      </c>
      <c r="D11" s="50" t="s">
        <v>34</v>
      </c>
      <c r="E11" s="51">
        <f>E42</f>
        <v>0</v>
      </c>
      <c r="G11" s="74" t="s">
        <v>66</v>
      </c>
      <c r="H11" s="44"/>
      <c r="J11" s="13" t="s">
        <v>70</v>
      </c>
      <c r="K11" s="12">
        <f>H16/20</f>
        <v>0</v>
      </c>
      <c r="L11" s="11">
        <f t="shared" ref="L11:L17" si="2">K11*30000</f>
        <v>0</v>
      </c>
      <c r="M11" s="90"/>
      <c r="N11" s="12">
        <f t="shared" ref="N11:N17" si="3">M11*L11</f>
        <v>0</v>
      </c>
    </row>
    <row r="12">
      <c r="G12" s="74" t="s">
        <v>71</v>
      </c>
      <c r="H12" s="47">
        <v>30000.0</v>
      </c>
      <c r="J12" s="91" t="s">
        <v>72</v>
      </c>
      <c r="K12" s="12">
        <f>H16/((20+25)/2)</f>
        <v>0</v>
      </c>
      <c r="L12" s="11">
        <f t="shared" si="2"/>
        <v>0</v>
      </c>
      <c r="M12" s="90"/>
      <c r="N12" s="12">
        <f t="shared" si="3"/>
        <v>0</v>
      </c>
    </row>
    <row r="13">
      <c r="B13" s="70" t="s">
        <v>13</v>
      </c>
      <c r="C13" s="59"/>
      <c r="D13" s="59" t="s">
        <v>39</v>
      </c>
      <c r="E13" s="60" t="s">
        <v>2</v>
      </c>
      <c r="G13" s="13" t="s">
        <v>73</v>
      </c>
      <c r="H13" s="11"/>
      <c r="J13" s="91" t="s">
        <v>74</v>
      </c>
      <c r="K13" s="12">
        <f>H16/((20+50)/3)</f>
        <v>0</v>
      </c>
      <c r="L13" s="11">
        <f t="shared" si="2"/>
        <v>0</v>
      </c>
      <c r="M13" s="90"/>
      <c r="N13" s="12">
        <f t="shared" si="3"/>
        <v>0</v>
      </c>
    </row>
    <row r="14">
      <c r="B14" s="71" t="s">
        <v>42</v>
      </c>
      <c r="C14" s="43">
        <v>350.0</v>
      </c>
      <c r="D14" s="46"/>
      <c r="E14" s="47">
        <f t="shared" ref="E14:E16" si="4">D14*C14</f>
        <v>0</v>
      </c>
      <c r="G14" s="13" t="s">
        <v>75</v>
      </c>
      <c r="H14" s="92"/>
      <c r="J14" s="91" t="s">
        <v>76</v>
      </c>
      <c r="K14" s="12">
        <f>H16/((20+75)/4)</f>
        <v>0</v>
      </c>
      <c r="L14" s="11">
        <f t="shared" si="2"/>
        <v>0</v>
      </c>
      <c r="M14" s="90"/>
      <c r="N14" s="12">
        <f t="shared" si="3"/>
        <v>0</v>
      </c>
    </row>
    <row r="15">
      <c r="B15" s="72" t="s">
        <v>43</v>
      </c>
      <c r="C15" s="12">
        <v>1220.0</v>
      </c>
      <c r="D15" s="48"/>
      <c r="E15" s="11">
        <f t="shared" si="4"/>
        <v>0</v>
      </c>
      <c r="G15" s="13" t="s">
        <v>77</v>
      </c>
      <c r="H15" s="92"/>
      <c r="J15" s="91" t="s">
        <v>78</v>
      </c>
      <c r="K15" s="12">
        <f>H16/((20+100)/5)</f>
        <v>0</v>
      </c>
      <c r="L15" s="11">
        <f t="shared" si="2"/>
        <v>0</v>
      </c>
      <c r="M15" s="90"/>
      <c r="N15" s="12">
        <f t="shared" si="3"/>
        <v>0</v>
      </c>
    </row>
    <row r="16">
      <c r="B16" s="73" t="s">
        <v>44</v>
      </c>
      <c r="C16" s="50">
        <v>3040.0</v>
      </c>
      <c r="D16" s="58"/>
      <c r="E16" s="51">
        <f t="shared" si="4"/>
        <v>0</v>
      </c>
      <c r="G16" s="77" t="s">
        <v>79</v>
      </c>
      <c r="H16" s="51">
        <f>H14+H15*10</f>
        <v>0</v>
      </c>
      <c r="J16" s="91" t="s">
        <v>80</v>
      </c>
      <c r="K16" s="12">
        <f>H16/((20+125)/6)</f>
        <v>0</v>
      </c>
      <c r="L16" s="11">
        <f t="shared" si="2"/>
        <v>0</v>
      </c>
      <c r="M16" s="90"/>
      <c r="N16" s="12">
        <f t="shared" si="3"/>
        <v>0</v>
      </c>
    </row>
    <row r="17">
      <c r="B17" s="12"/>
      <c r="C17" s="12"/>
      <c r="D17" s="12"/>
      <c r="E17" s="41">
        <f>SUM(E14:E16)</f>
        <v>0</v>
      </c>
      <c r="J17" s="93" t="s">
        <v>81</v>
      </c>
      <c r="K17" s="50">
        <f>H16/25</f>
        <v>0</v>
      </c>
      <c r="L17" s="51">
        <f t="shared" si="2"/>
        <v>0</v>
      </c>
      <c r="M17" s="90"/>
      <c r="N17" s="12">
        <f t="shared" si="3"/>
        <v>0</v>
      </c>
    </row>
    <row r="18">
      <c r="J18" s="94"/>
      <c r="K18" s="12"/>
      <c r="L18" s="41">
        <f>SUM(N11:N17)</f>
        <v>0</v>
      </c>
      <c r="M18" s="66"/>
      <c r="N18" s="12"/>
    </row>
    <row r="19">
      <c r="L19" s="95" t="s">
        <v>82</v>
      </c>
      <c r="M19" s="96"/>
      <c r="N19" s="96"/>
      <c r="O19" s="96"/>
      <c r="P19" s="96"/>
      <c r="Q19" s="97"/>
    </row>
    <row r="20">
      <c r="B20" s="74" t="s">
        <v>38</v>
      </c>
      <c r="C20" s="43" t="s">
        <v>2</v>
      </c>
      <c r="D20" s="43" t="s">
        <v>39</v>
      </c>
      <c r="E20" s="47" t="s">
        <v>2</v>
      </c>
      <c r="L20" s="98" t="s">
        <v>83</v>
      </c>
      <c r="Q20" s="99"/>
    </row>
    <row r="21" ht="15.75" customHeight="1">
      <c r="B21" s="52">
        <v>1.0</v>
      </c>
      <c r="C21" s="100">
        <v>625.0</v>
      </c>
      <c r="D21" s="86"/>
      <c r="E21" s="47">
        <f t="shared" ref="E21:E36" si="5">C21*D21*70</f>
        <v>0</v>
      </c>
      <c r="G21" s="70" t="s">
        <v>84</v>
      </c>
      <c r="H21" s="59"/>
      <c r="I21" s="59" t="s">
        <v>45</v>
      </c>
      <c r="J21" s="60" t="s">
        <v>2</v>
      </c>
      <c r="K21" s="12"/>
      <c r="L21" s="101" t="s">
        <v>85</v>
      </c>
      <c r="Q21" s="99"/>
    </row>
    <row r="22" ht="15.75" customHeight="1">
      <c r="B22" s="54">
        <v>2.0</v>
      </c>
      <c r="C22" s="102">
        <v>1250.0</v>
      </c>
      <c r="D22" s="103"/>
      <c r="E22" s="11">
        <f t="shared" si="5"/>
        <v>0</v>
      </c>
      <c r="G22" s="72" t="s">
        <v>86</v>
      </c>
      <c r="H22" s="12">
        <v>500.0</v>
      </c>
      <c r="I22" s="48"/>
      <c r="J22" s="11">
        <f t="shared" ref="J22:J31" si="6">H22*I22*50</f>
        <v>0</v>
      </c>
      <c r="K22" s="12"/>
      <c r="L22" s="104"/>
      <c r="Q22" s="99"/>
    </row>
    <row r="23" ht="15.75" customHeight="1">
      <c r="B23" s="54">
        <v>3.0</v>
      </c>
      <c r="C23" s="102">
        <v>3125.0</v>
      </c>
      <c r="D23" s="103"/>
      <c r="E23" s="11">
        <f t="shared" si="5"/>
        <v>0</v>
      </c>
      <c r="G23" s="72" t="s">
        <v>87</v>
      </c>
      <c r="H23" s="12">
        <v>1000.0</v>
      </c>
      <c r="I23" s="48"/>
      <c r="J23" s="11">
        <f t="shared" si="6"/>
        <v>0</v>
      </c>
      <c r="K23" s="12"/>
      <c r="L23" s="104"/>
      <c r="Q23" s="99"/>
    </row>
    <row r="24" ht="15.75" customHeight="1">
      <c r="B24" s="54">
        <v>4.0</v>
      </c>
      <c r="C24" s="102">
        <v>8750.0</v>
      </c>
      <c r="D24" s="103"/>
      <c r="E24" s="11">
        <f t="shared" si="5"/>
        <v>0</v>
      </c>
      <c r="G24" s="72" t="s">
        <v>88</v>
      </c>
      <c r="H24" s="12">
        <v>2000.0</v>
      </c>
      <c r="I24" s="48"/>
      <c r="J24" s="11">
        <f t="shared" si="6"/>
        <v>0</v>
      </c>
      <c r="K24" s="12"/>
      <c r="L24" s="101" t="s">
        <v>89</v>
      </c>
      <c r="Q24" s="99"/>
    </row>
    <row r="25" ht="15.75" customHeight="1">
      <c r="B25" s="54">
        <v>5.0</v>
      </c>
      <c r="C25" s="102">
        <v>11250.0</v>
      </c>
      <c r="D25" s="103"/>
      <c r="E25" s="11">
        <f t="shared" si="5"/>
        <v>0</v>
      </c>
      <c r="G25" s="72" t="s">
        <v>90</v>
      </c>
      <c r="H25" s="12">
        <v>3000.0</v>
      </c>
      <c r="I25" s="48"/>
      <c r="J25" s="11">
        <f t="shared" si="6"/>
        <v>0</v>
      </c>
      <c r="K25" s="12"/>
      <c r="L25" s="105"/>
      <c r="M25" s="106"/>
      <c r="N25" s="106"/>
      <c r="O25" s="106"/>
      <c r="P25" s="106"/>
      <c r="Q25" s="107"/>
    </row>
    <row r="26" ht="15.75" customHeight="1">
      <c r="B26" s="54">
        <v>6.0</v>
      </c>
      <c r="C26" s="102">
        <v>12500.0</v>
      </c>
      <c r="D26" s="103"/>
      <c r="E26" s="11">
        <f t="shared" si="5"/>
        <v>0</v>
      </c>
      <c r="G26" s="72" t="s">
        <v>91</v>
      </c>
      <c r="H26" s="12">
        <v>4500.0</v>
      </c>
      <c r="I26" s="48"/>
      <c r="J26" s="11">
        <f t="shared" si="6"/>
        <v>0</v>
      </c>
      <c r="K26" s="12"/>
    </row>
    <row r="27" ht="15.75" customHeight="1">
      <c r="B27" s="54">
        <v>7.0</v>
      </c>
      <c r="C27" s="102">
        <v>12500.0</v>
      </c>
      <c r="D27" s="108"/>
      <c r="E27" s="11">
        <f t="shared" si="5"/>
        <v>0</v>
      </c>
      <c r="G27" s="72" t="s">
        <v>92</v>
      </c>
      <c r="H27" s="12">
        <v>6750.0</v>
      </c>
      <c r="I27" s="48"/>
      <c r="J27" s="11">
        <f t="shared" si="6"/>
        <v>0</v>
      </c>
      <c r="K27" s="12"/>
    </row>
    <row r="28" ht="15.75" customHeight="1">
      <c r="B28" s="54">
        <v>8.0</v>
      </c>
      <c r="C28" s="102">
        <v>13000.0</v>
      </c>
      <c r="D28" s="103"/>
      <c r="E28" s="11">
        <f t="shared" si="5"/>
        <v>0</v>
      </c>
      <c r="G28" s="72" t="s">
        <v>93</v>
      </c>
      <c r="H28" s="12">
        <v>10000.0</v>
      </c>
      <c r="I28" s="48"/>
      <c r="J28" s="11">
        <f t="shared" si="6"/>
        <v>0</v>
      </c>
      <c r="K28" s="12"/>
    </row>
    <row r="29" ht="15.75" customHeight="1">
      <c r="B29" s="54">
        <v>9.0</v>
      </c>
      <c r="C29" s="102">
        <v>14000.0</v>
      </c>
      <c r="D29" s="103"/>
      <c r="E29" s="11">
        <f t="shared" si="5"/>
        <v>0</v>
      </c>
      <c r="G29" s="72" t="s">
        <v>94</v>
      </c>
      <c r="H29" s="12">
        <v>12000.0</v>
      </c>
      <c r="I29" s="48"/>
      <c r="J29" s="11">
        <f t="shared" si="6"/>
        <v>0</v>
      </c>
      <c r="K29" s="12"/>
    </row>
    <row r="30" ht="15.75" customHeight="1">
      <c r="B30" s="54">
        <v>10.0</v>
      </c>
      <c r="C30" s="102">
        <v>15000.0</v>
      </c>
      <c r="D30" s="103"/>
      <c r="E30" s="11">
        <f t="shared" si="5"/>
        <v>0</v>
      </c>
      <c r="G30" s="72" t="s">
        <v>95</v>
      </c>
      <c r="H30" s="12">
        <v>14500.0</v>
      </c>
      <c r="I30" s="48"/>
      <c r="J30" s="11">
        <f t="shared" si="6"/>
        <v>0</v>
      </c>
      <c r="K30" s="12"/>
    </row>
    <row r="31" ht="15.75" customHeight="1">
      <c r="B31" s="54">
        <v>11.0</v>
      </c>
      <c r="C31" s="102">
        <v>16000.0</v>
      </c>
      <c r="D31" s="103"/>
      <c r="E31" s="11">
        <f t="shared" si="5"/>
        <v>0</v>
      </c>
      <c r="G31" s="73" t="s">
        <v>96</v>
      </c>
      <c r="H31" s="50">
        <v>17500.0</v>
      </c>
      <c r="I31" s="58"/>
      <c r="J31" s="51">
        <f t="shared" si="6"/>
        <v>0</v>
      </c>
      <c r="K31" s="12"/>
    </row>
    <row r="32" ht="15.75" customHeight="1">
      <c r="B32" s="54">
        <v>12.0</v>
      </c>
      <c r="C32" s="102">
        <v>17000.0</v>
      </c>
      <c r="D32" s="108"/>
      <c r="E32" s="11">
        <f t="shared" si="5"/>
        <v>0</v>
      </c>
      <c r="J32" s="41">
        <f>SUM(J22:J31)</f>
        <v>0</v>
      </c>
    </row>
    <row r="33" ht="15.75" customHeight="1">
      <c r="B33" s="54">
        <v>13.0</v>
      </c>
      <c r="C33" s="102">
        <v>18000.0</v>
      </c>
      <c r="D33" s="103"/>
      <c r="E33" s="11">
        <f t="shared" si="5"/>
        <v>0</v>
      </c>
    </row>
    <row r="34" ht="15.75" customHeight="1">
      <c r="B34" s="54">
        <v>14.0</v>
      </c>
      <c r="C34" s="102">
        <v>19000.0</v>
      </c>
      <c r="D34" s="108"/>
      <c r="E34" s="11">
        <f t="shared" si="5"/>
        <v>0</v>
      </c>
    </row>
    <row r="35" ht="15.75" customHeight="1">
      <c r="B35" s="54">
        <v>15.0</v>
      </c>
      <c r="C35" s="102">
        <v>20000.0</v>
      </c>
      <c r="D35" s="108"/>
      <c r="E35" s="11">
        <f t="shared" si="5"/>
        <v>0</v>
      </c>
      <c r="G35" s="1" t="s">
        <v>97</v>
      </c>
      <c r="H35" s="87"/>
      <c r="I35" s="87" t="s">
        <v>39</v>
      </c>
      <c r="J35" s="4" t="s">
        <v>2</v>
      </c>
    </row>
    <row r="36" ht="15.75" customHeight="1">
      <c r="B36" s="56">
        <v>16.0</v>
      </c>
      <c r="C36" s="109">
        <v>21000.0</v>
      </c>
      <c r="D36" s="110"/>
      <c r="E36" s="51">
        <f t="shared" si="5"/>
        <v>0</v>
      </c>
      <c r="G36" s="45" t="s">
        <v>98</v>
      </c>
      <c r="H36" s="12">
        <v>1150.0</v>
      </c>
      <c r="I36" s="48"/>
      <c r="J36" s="11">
        <f t="shared" ref="J36:J37" si="7">I36*H36</f>
        <v>0</v>
      </c>
    </row>
    <row r="37" ht="15.75" customHeight="1">
      <c r="E37" s="84">
        <f>SUM(E21:E36)</f>
        <v>0</v>
      </c>
      <c r="G37" s="49" t="s">
        <v>99</v>
      </c>
      <c r="H37" s="50">
        <v>15000.0</v>
      </c>
      <c r="I37" s="58"/>
      <c r="J37" s="51">
        <f t="shared" si="7"/>
        <v>0</v>
      </c>
    </row>
    <row r="38" ht="15.75" customHeight="1">
      <c r="C38" s="12"/>
      <c r="D38" s="12"/>
      <c r="G38" s="12"/>
      <c r="H38" s="12"/>
      <c r="I38" s="12"/>
      <c r="J38" s="41">
        <f>SUM(J36:J37)</f>
        <v>0</v>
      </c>
    </row>
    <row r="39" ht="15.75" customHeight="1">
      <c r="B39" s="40" t="s">
        <v>54</v>
      </c>
    </row>
    <row r="40" ht="15.75" customHeight="1">
      <c r="B40" s="78" t="s">
        <v>55</v>
      </c>
      <c r="C40" s="79">
        <v>6000.0</v>
      </c>
      <c r="D40" s="80"/>
      <c r="E40" s="47">
        <f t="shared" ref="E40:E41" si="8">C40*D40</f>
        <v>0</v>
      </c>
    </row>
    <row r="41" ht="15.75" customHeight="1">
      <c r="B41" s="81" t="s">
        <v>56</v>
      </c>
      <c r="C41" s="82">
        <v>60.0</v>
      </c>
      <c r="D41" s="83"/>
      <c r="E41" s="51">
        <f t="shared" si="8"/>
        <v>0</v>
      </c>
    </row>
    <row r="42" ht="15.75" customHeight="1">
      <c r="E42" s="84">
        <f>SUM(E40:E41)</f>
        <v>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L19:Q19"/>
    <mergeCell ref="L20:Q20"/>
    <mergeCell ref="L21:Q23"/>
    <mergeCell ref="L24:Q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57"/>
    <col customWidth="1" min="3" max="3" width="8.0"/>
    <col customWidth="1" min="4" max="4" width="13.71"/>
    <col customWidth="1" min="5" max="5" width="10.57"/>
    <col customWidth="1" min="6" max="6" width="9.14"/>
    <col customWidth="1" min="7" max="7" width="13.71"/>
    <col customWidth="1" min="8" max="8" width="9.14"/>
    <col customWidth="1" min="9" max="9" width="12.43"/>
    <col customWidth="1" min="10" max="10" width="12.86"/>
    <col customWidth="1" min="11" max="26" width="9.14"/>
  </cols>
  <sheetData>
    <row r="2">
      <c r="E2" s="41">
        <f>SUM(E4:E8)</f>
        <v>0</v>
      </c>
    </row>
    <row r="3">
      <c r="B3" s="111" t="s">
        <v>12</v>
      </c>
      <c r="C3" s="87"/>
      <c r="D3" s="87" t="s">
        <v>32</v>
      </c>
      <c r="E3" s="4" t="s">
        <v>2</v>
      </c>
    </row>
    <row r="4">
      <c r="B4" s="72" t="s">
        <v>100</v>
      </c>
      <c r="C4" s="12">
        <v>8000.0</v>
      </c>
      <c r="D4" s="48"/>
      <c r="E4" s="11">
        <f t="shared" ref="E4:E6" si="1">D4*C4</f>
        <v>0</v>
      </c>
    </row>
    <row r="5">
      <c r="B5" s="10" t="s">
        <v>101</v>
      </c>
      <c r="C5" s="27">
        <v>4000.0</v>
      </c>
      <c r="D5" s="48"/>
      <c r="E5" s="11">
        <f t="shared" si="1"/>
        <v>0</v>
      </c>
    </row>
    <row r="6">
      <c r="B6" s="10" t="s">
        <v>102</v>
      </c>
      <c r="C6" s="112">
        <v>144000.0</v>
      </c>
      <c r="D6" s="113"/>
      <c r="E6" s="11">
        <f t="shared" si="1"/>
        <v>0</v>
      </c>
    </row>
    <row r="7">
      <c r="B7" s="72" t="s">
        <v>21</v>
      </c>
      <c r="C7" s="12">
        <v>70.0</v>
      </c>
      <c r="D7" s="12" t="s">
        <v>34</v>
      </c>
      <c r="E7" s="11">
        <f>J27</f>
        <v>0</v>
      </c>
    </row>
    <row r="8">
      <c r="B8" s="61" t="s">
        <v>20</v>
      </c>
      <c r="C8" s="114" t="s">
        <v>103</v>
      </c>
      <c r="D8" s="50" t="s">
        <v>34</v>
      </c>
      <c r="E8" s="51">
        <f>E22</f>
        <v>0</v>
      </c>
    </row>
    <row r="10">
      <c r="B10" s="1" t="s">
        <v>104</v>
      </c>
      <c r="C10" s="59"/>
      <c r="D10" s="59" t="s">
        <v>45</v>
      </c>
      <c r="E10" s="60" t="s">
        <v>2</v>
      </c>
      <c r="G10" s="74" t="s">
        <v>38</v>
      </c>
      <c r="H10" s="43" t="s">
        <v>2</v>
      </c>
      <c r="I10" s="43" t="s">
        <v>39</v>
      </c>
      <c r="J10" s="47" t="s">
        <v>2</v>
      </c>
    </row>
    <row r="11">
      <c r="B11" s="10" t="s">
        <v>105</v>
      </c>
      <c r="C11" s="12">
        <v>3.0</v>
      </c>
      <c r="D11" s="48"/>
      <c r="E11" s="11">
        <f t="shared" ref="E11:E21" si="2">C11*D11</f>
        <v>0</v>
      </c>
      <c r="G11" s="52">
        <v>1.0</v>
      </c>
      <c r="H11" s="100">
        <v>625.0</v>
      </c>
      <c r="I11" s="86"/>
      <c r="J11" s="47">
        <f t="shared" ref="J11:J26" si="3">H11*I11*70</f>
        <v>0</v>
      </c>
    </row>
    <row r="12">
      <c r="B12" s="10" t="s">
        <v>106</v>
      </c>
      <c r="C12" s="12">
        <v>4.0</v>
      </c>
      <c r="D12" s="48"/>
      <c r="E12" s="11">
        <f t="shared" si="2"/>
        <v>0</v>
      </c>
      <c r="G12" s="54">
        <v>2.0</v>
      </c>
      <c r="H12" s="102">
        <v>1250.0</v>
      </c>
      <c r="I12" s="103"/>
      <c r="J12" s="11">
        <f t="shared" si="3"/>
        <v>0</v>
      </c>
    </row>
    <row r="13">
      <c r="B13" s="10" t="s">
        <v>107</v>
      </c>
      <c r="C13" s="12">
        <v>5.0</v>
      </c>
      <c r="D13" s="48"/>
      <c r="E13" s="11">
        <f t="shared" si="2"/>
        <v>0</v>
      </c>
      <c r="G13" s="54">
        <v>3.0</v>
      </c>
      <c r="H13" s="102">
        <v>3125.0</v>
      </c>
      <c r="I13" s="103"/>
      <c r="J13" s="11">
        <f t="shared" si="3"/>
        <v>0</v>
      </c>
    </row>
    <row r="14">
      <c r="B14" s="10" t="s">
        <v>108</v>
      </c>
      <c r="C14" s="12">
        <v>8.0</v>
      </c>
      <c r="D14" s="48"/>
      <c r="E14" s="11">
        <f t="shared" si="2"/>
        <v>0</v>
      </c>
      <c r="G14" s="54">
        <v>4.0</v>
      </c>
      <c r="H14" s="102">
        <v>8750.0</v>
      </c>
      <c r="I14" s="103"/>
      <c r="J14" s="11">
        <f t="shared" si="3"/>
        <v>0</v>
      </c>
    </row>
    <row r="15">
      <c r="B15" s="10" t="s">
        <v>109</v>
      </c>
      <c r="C15" s="12">
        <v>12.0</v>
      </c>
      <c r="D15" s="48"/>
      <c r="E15" s="11">
        <f t="shared" si="2"/>
        <v>0</v>
      </c>
      <c r="G15" s="54">
        <v>5.0</v>
      </c>
      <c r="H15" s="102">
        <v>11250.0</v>
      </c>
      <c r="I15" s="103"/>
      <c r="J15" s="11">
        <f t="shared" si="3"/>
        <v>0</v>
      </c>
    </row>
    <row r="16">
      <c r="B16" s="10" t="s">
        <v>110</v>
      </c>
      <c r="C16" s="12">
        <v>18.0</v>
      </c>
      <c r="D16" s="48"/>
      <c r="E16" s="11">
        <f t="shared" si="2"/>
        <v>0</v>
      </c>
      <c r="G16" s="54">
        <v>6.0</v>
      </c>
      <c r="H16" s="102">
        <v>12500.0</v>
      </c>
      <c r="I16" s="103"/>
      <c r="J16" s="11">
        <f t="shared" si="3"/>
        <v>0</v>
      </c>
    </row>
    <row r="17">
      <c r="B17" s="10" t="s">
        <v>111</v>
      </c>
      <c r="C17" s="12">
        <v>25.0</v>
      </c>
      <c r="D17" s="48"/>
      <c r="E17" s="11">
        <f t="shared" si="2"/>
        <v>0</v>
      </c>
      <c r="G17" s="54">
        <v>7.0</v>
      </c>
      <c r="H17" s="102">
        <v>12500.0</v>
      </c>
      <c r="I17" s="108"/>
      <c r="J17" s="11">
        <f t="shared" si="3"/>
        <v>0</v>
      </c>
    </row>
    <row r="18">
      <c r="B18" s="10" t="s">
        <v>112</v>
      </c>
      <c r="C18" s="12">
        <v>35.0</v>
      </c>
      <c r="D18" s="48"/>
      <c r="E18" s="11">
        <f t="shared" si="2"/>
        <v>0</v>
      </c>
      <c r="G18" s="54">
        <v>8.0</v>
      </c>
      <c r="H18" s="102">
        <v>13000.0</v>
      </c>
      <c r="I18" s="103"/>
      <c r="J18" s="11">
        <f t="shared" si="3"/>
        <v>0</v>
      </c>
    </row>
    <row r="19">
      <c r="B19" s="10" t="s">
        <v>113</v>
      </c>
      <c r="C19" s="12">
        <v>45.0</v>
      </c>
      <c r="D19" s="48"/>
      <c r="E19" s="11">
        <f t="shared" si="2"/>
        <v>0</v>
      </c>
      <c r="G19" s="54">
        <v>9.0</v>
      </c>
      <c r="H19" s="102">
        <v>14000.0</v>
      </c>
      <c r="I19" s="103"/>
      <c r="J19" s="11">
        <f t="shared" si="3"/>
        <v>0</v>
      </c>
    </row>
    <row r="20">
      <c r="B20" s="10" t="s">
        <v>114</v>
      </c>
      <c r="C20" s="12">
        <v>60.0</v>
      </c>
      <c r="D20" s="48"/>
      <c r="E20" s="11">
        <f t="shared" si="2"/>
        <v>0</v>
      </c>
      <c r="G20" s="54">
        <v>10.0</v>
      </c>
      <c r="H20" s="102">
        <v>15000.0</v>
      </c>
      <c r="I20" s="103"/>
      <c r="J20" s="11">
        <f t="shared" si="3"/>
        <v>0</v>
      </c>
    </row>
    <row r="21" ht="15.75" customHeight="1">
      <c r="B21" s="61" t="s">
        <v>115</v>
      </c>
      <c r="C21" s="50">
        <v>75.0</v>
      </c>
      <c r="D21" s="58"/>
      <c r="E21" s="51">
        <f t="shared" si="2"/>
        <v>0</v>
      </c>
      <c r="G21" s="54">
        <v>11.0</v>
      </c>
      <c r="H21" s="102">
        <v>16000.0</v>
      </c>
      <c r="I21" s="103"/>
      <c r="J21" s="11">
        <f t="shared" si="3"/>
        <v>0</v>
      </c>
    </row>
    <row r="22" ht="15.75" customHeight="1">
      <c r="E22" s="41">
        <f>SUM(E11:E21)</f>
        <v>0</v>
      </c>
      <c r="G22" s="54">
        <v>12.0</v>
      </c>
      <c r="H22" s="102">
        <v>17000.0</v>
      </c>
      <c r="I22" s="108"/>
      <c r="J22" s="11">
        <f t="shared" si="3"/>
        <v>0</v>
      </c>
    </row>
    <row r="23" ht="15.75" customHeight="1">
      <c r="G23" s="54">
        <v>13.0</v>
      </c>
      <c r="H23" s="102">
        <v>18000.0</v>
      </c>
      <c r="I23" s="103"/>
      <c r="J23" s="11">
        <f t="shared" si="3"/>
        <v>0</v>
      </c>
    </row>
    <row r="24" ht="15.75" customHeight="1">
      <c r="G24" s="54">
        <v>14.0</v>
      </c>
      <c r="H24" s="102">
        <v>19000.0</v>
      </c>
      <c r="I24" s="108"/>
      <c r="J24" s="11">
        <f t="shared" si="3"/>
        <v>0</v>
      </c>
    </row>
    <row r="25" ht="15.75" customHeight="1">
      <c r="G25" s="54">
        <v>15.0</v>
      </c>
      <c r="H25" s="102">
        <v>20000.0</v>
      </c>
      <c r="I25" s="108"/>
      <c r="J25" s="11">
        <f t="shared" si="3"/>
        <v>0</v>
      </c>
    </row>
    <row r="26" ht="15.75" customHeight="1">
      <c r="G26" s="56">
        <v>16.0</v>
      </c>
      <c r="H26" s="109">
        <v>21000.0</v>
      </c>
      <c r="I26" s="110"/>
      <c r="J26" s="51">
        <f t="shared" si="3"/>
        <v>0</v>
      </c>
    </row>
    <row r="27" ht="15.75" customHeight="1">
      <c r="J27" s="84">
        <f>SUM(J11:J26)</f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57"/>
    <col customWidth="1" min="3" max="3" width="9.14"/>
    <col customWidth="1" min="4" max="4" width="13.71"/>
    <col customWidth="1" min="5" max="5" width="10.57"/>
    <col customWidth="1" min="6" max="6" width="9.14"/>
    <col customWidth="1" min="7" max="7" width="20.29"/>
    <col customWidth="1" min="8" max="9" width="9.14"/>
    <col customWidth="1" min="10" max="10" width="10.57"/>
    <col customWidth="1" min="11" max="26" width="9.14"/>
  </cols>
  <sheetData>
    <row r="2">
      <c r="B2" s="12"/>
      <c r="C2" s="12"/>
      <c r="D2" s="12" t="s">
        <v>31</v>
      </c>
      <c r="E2" s="41">
        <f>SUM(E4:E13)</f>
        <v>0</v>
      </c>
    </row>
    <row r="3">
      <c r="B3" s="62" t="s">
        <v>14</v>
      </c>
      <c r="C3" s="43"/>
      <c r="D3" s="43" t="s">
        <v>32</v>
      </c>
      <c r="E3" s="44" t="s">
        <v>2</v>
      </c>
    </row>
    <row r="4">
      <c r="B4" s="115" t="s">
        <v>4</v>
      </c>
      <c r="C4" s="43">
        <v>2000.0</v>
      </c>
      <c r="D4" s="46"/>
      <c r="E4" s="47">
        <f t="shared" ref="E4:E9" si="1">D4*C4</f>
        <v>0</v>
      </c>
    </row>
    <row r="5">
      <c r="B5" s="64" t="s">
        <v>7</v>
      </c>
      <c r="C5" s="12">
        <v>1000.0</v>
      </c>
      <c r="D5" s="48"/>
      <c r="E5" s="11">
        <f t="shared" si="1"/>
        <v>0</v>
      </c>
    </row>
    <row r="6">
      <c r="B6" s="64" t="s">
        <v>9</v>
      </c>
      <c r="C6" s="12">
        <v>30000.0</v>
      </c>
      <c r="D6" s="48"/>
      <c r="E6" s="11">
        <f t="shared" si="1"/>
        <v>0</v>
      </c>
    </row>
    <row r="7">
      <c r="B7" s="45" t="s">
        <v>100</v>
      </c>
      <c r="C7" s="12">
        <v>8000.0</v>
      </c>
      <c r="D7" s="48"/>
      <c r="E7" s="11">
        <f t="shared" si="1"/>
        <v>0</v>
      </c>
    </row>
    <row r="8">
      <c r="B8" s="13" t="s">
        <v>101</v>
      </c>
      <c r="C8" s="66">
        <v>4000.0</v>
      </c>
      <c r="D8" s="48"/>
      <c r="E8" s="11">
        <f t="shared" si="1"/>
        <v>0</v>
      </c>
    </row>
    <row r="9">
      <c r="B9" s="13" t="s">
        <v>102</v>
      </c>
      <c r="C9" s="116">
        <v>144000.0</v>
      </c>
      <c r="D9" s="113"/>
      <c r="E9" s="11">
        <f t="shared" si="1"/>
        <v>0</v>
      </c>
    </row>
    <row r="10">
      <c r="B10" s="64" t="s">
        <v>33</v>
      </c>
      <c r="C10" s="12">
        <v>30.0</v>
      </c>
      <c r="D10" s="12" t="s">
        <v>34</v>
      </c>
      <c r="E10" s="11">
        <f>E19</f>
        <v>0</v>
      </c>
    </row>
    <row r="11">
      <c r="B11" s="65" t="s">
        <v>23</v>
      </c>
      <c r="C11" s="66">
        <v>36.0</v>
      </c>
      <c r="D11" s="12" t="s">
        <v>34</v>
      </c>
      <c r="E11" s="11">
        <f>E39</f>
        <v>0</v>
      </c>
    </row>
    <row r="12">
      <c r="B12" s="64" t="s">
        <v>61</v>
      </c>
      <c r="C12" s="12">
        <v>50.0</v>
      </c>
      <c r="D12" s="12" t="s">
        <v>34</v>
      </c>
      <c r="E12" s="11">
        <f>J26</f>
        <v>0</v>
      </c>
    </row>
    <row r="13">
      <c r="B13" s="117" t="s">
        <v>63</v>
      </c>
      <c r="C13" s="36" t="s">
        <v>40</v>
      </c>
      <c r="D13" s="50" t="s">
        <v>34</v>
      </c>
      <c r="E13" s="51">
        <f>J31</f>
        <v>0</v>
      </c>
    </row>
    <row r="15">
      <c r="B15" s="1" t="s">
        <v>19</v>
      </c>
      <c r="C15" s="87"/>
      <c r="D15" s="87"/>
      <c r="E15" s="4"/>
      <c r="G15" s="70" t="s">
        <v>84</v>
      </c>
      <c r="H15" s="59"/>
      <c r="I15" s="59" t="s">
        <v>45</v>
      </c>
      <c r="J15" s="60" t="s">
        <v>2</v>
      </c>
    </row>
    <row r="16">
      <c r="B16" s="52" t="s">
        <v>35</v>
      </c>
      <c r="C16" s="53">
        <f>24*60*30</f>
        <v>43200</v>
      </c>
      <c r="D16" s="46"/>
      <c r="E16" s="47">
        <f t="shared" ref="E16:E18" si="2">C16*D16</f>
        <v>0</v>
      </c>
      <c r="G16" s="71" t="s">
        <v>86</v>
      </c>
      <c r="H16" s="12">
        <v>500.0</v>
      </c>
      <c r="I16" s="48"/>
      <c r="J16" s="11">
        <f t="shared" ref="J16:J25" si="3">H16*I16*50</f>
        <v>0</v>
      </c>
    </row>
    <row r="17">
      <c r="B17" s="54" t="s">
        <v>36</v>
      </c>
      <c r="C17" s="55">
        <f>60*30</f>
        <v>1800</v>
      </c>
      <c r="D17" s="48"/>
      <c r="E17" s="11">
        <f t="shared" si="2"/>
        <v>0</v>
      </c>
      <c r="G17" s="72" t="s">
        <v>87</v>
      </c>
      <c r="H17" s="12">
        <v>1000.0</v>
      </c>
      <c r="I17" s="48"/>
      <c r="J17" s="11">
        <f t="shared" si="3"/>
        <v>0</v>
      </c>
    </row>
    <row r="18">
      <c r="B18" s="56" t="s">
        <v>37</v>
      </c>
      <c r="C18" s="57">
        <f>30</f>
        <v>30</v>
      </c>
      <c r="D18" s="58"/>
      <c r="E18" s="51">
        <f t="shared" si="2"/>
        <v>0</v>
      </c>
      <c r="G18" s="72" t="s">
        <v>88</v>
      </c>
      <c r="H18" s="12">
        <v>2000.0</v>
      </c>
      <c r="I18" s="48"/>
      <c r="J18" s="11">
        <f t="shared" si="3"/>
        <v>0</v>
      </c>
    </row>
    <row r="19">
      <c r="E19" s="41">
        <f>SUM(E16:E18)</f>
        <v>0</v>
      </c>
      <c r="G19" s="72" t="s">
        <v>90</v>
      </c>
      <c r="H19" s="12">
        <v>3000.0</v>
      </c>
      <c r="I19" s="48"/>
      <c r="J19" s="11">
        <f t="shared" si="3"/>
        <v>0</v>
      </c>
    </row>
    <row r="20">
      <c r="G20" s="72" t="s">
        <v>91</v>
      </c>
      <c r="H20" s="12">
        <v>4500.0</v>
      </c>
      <c r="I20" s="48"/>
      <c r="J20" s="11">
        <f t="shared" si="3"/>
        <v>0</v>
      </c>
    </row>
    <row r="21" ht="15.75" customHeight="1">
      <c r="G21" s="72" t="s">
        <v>92</v>
      </c>
      <c r="H21" s="12">
        <v>6750.0</v>
      </c>
      <c r="I21" s="48"/>
      <c r="J21" s="11">
        <f t="shared" si="3"/>
        <v>0</v>
      </c>
    </row>
    <row r="22" ht="15.75" customHeight="1">
      <c r="B22" s="1" t="s">
        <v>23</v>
      </c>
      <c r="C22" s="59" t="s">
        <v>2</v>
      </c>
      <c r="D22" s="59" t="s">
        <v>39</v>
      </c>
      <c r="E22" s="60" t="s">
        <v>2</v>
      </c>
      <c r="G22" s="72" t="s">
        <v>93</v>
      </c>
      <c r="H22" s="12">
        <v>10000.0</v>
      </c>
      <c r="I22" s="48"/>
      <c r="J22" s="11">
        <f t="shared" si="3"/>
        <v>0</v>
      </c>
    </row>
    <row r="23" ht="15.75" customHeight="1">
      <c r="B23" s="13" t="s">
        <v>116</v>
      </c>
      <c r="C23" s="12">
        <v>1125.0</v>
      </c>
      <c r="D23" s="48"/>
      <c r="E23" s="11">
        <f t="shared" ref="E23:E38" si="4">C23*D23*36</f>
        <v>0</v>
      </c>
      <c r="G23" s="72" t="s">
        <v>94</v>
      </c>
      <c r="H23" s="12">
        <v>12000.0</v>
      </c>
      <c r="I23" s="48"/>
      <c r="J23" s="11">
        <f t="shared" si="3"/>
        <v>0</v>
      </c>
    </row>
    <row r="24" ht="15.75" customHeight="1">
      <c r="B24" s="13" t="s">
        <v>117</v>
      </c>
      <c r="C24" s="12">
        <v>1875.0</v>
      </c>
      <c r="D24" s="48"/>
      <c r="E24" s="11">
        <f t="shared" si="4"/>
        <v>0</v>
      </c>
      <c r="F24" s="12"/>
      <c r="G24" s="72" t="s">
        <v>95</v>
      </c>
      <c r="H24" s="12">
        <v>14500.0</v>
      </c>
      <c r="I24" s="48"/>
      <c r="J24" s="11">
        <f t="shared" si="3"/>
        <v>0</v>
      </c>
    </row>
    <row r="25" ht="15.75" customHeight="1">
      <c r="B25" s="13" t="s">
        <v>42</v>
      </c>
      <c r="C25" s="12">
        <v>3000.0</v>
      </c>
      <c r="D25" s="48"/>
      <c r="E25" s="11">
        <f t="shared" si="4"/>
        <v>0</v>
      </c>
      <c r="G25" s="73" t="s">
        <v>96</v>
      </c>
      <c r="H25" s="50">
        <v>17500.0</v>
      </c>
      <c r="I25" s="58"/>
      <c r="J25" s="51">
        <f t="shared" si="3"/>
        <v>0</v>
      </c>
    </row>
    <row r="26" ht="15.75" customHeight="1">
      <c r="B26" s="13" t="s">
        <v>118</v>
      </c>
      <c r="C26" s="12">
        <v>4500.0</v>
      </c>
      <c r="D26" s="48"/>
      <c r="E26" s="11">
        <f t="shared" si="4"/>
        <v>0</v>
      </c>
      <c r="J26" s="41">
        <f>SUM(J16:J25)</f>
        <v>0</v>
      </c>
    </row>
    <row r="27" ht="15.75" customHeight="1">
      <c r="B27" s="13" t="s">
        <v>119</v>
      </c>
      <c r="C27" s="12">
        <v>5100.0</v>
      </c>
      <c r="D27" s="48"/>
      <c r="E27" s="11">
        <f t="shared" si="4"/>
        <v>0</v>
      </c>
    </row>
    <row r="28" ht="15.75" customHeight="1">
      <c r="B28" s="13" t="s">
        <v>120</v>
      </c>
      <c r="C28" s="12">
        <v>5440.0</v>
      </c>
      <c r="D28" s="48"/>
      <c r="E28" s="11">
        <f t="shared" si="4"/>
        <v>0</v>
      </c>
      <c r="G28" s="1" t="s">
        <v>97</v>
      </c>
      <c r="H28" s="87"/>
      <c r="I28" s="87" t="s">
        <v>39</v>
      </c>
      <c r="J28" s="4" t="s">
        <v>2</v>
      </c>
    </row>
    <row r="29" ht="15.75" customHeight="1">
      <c r="B29" s="13" t="s">
        <v>43</v>
      </c>
      <c r="C29" s="12">
        <v>3230.0</v>
      </c>
      <c r="D29" s="48"/>
      <c r="E29" s="11">
        <f t="shared" si="4"/>
        <v>0</v>
      </c>
      <c r="G29" s="45" t="s">
        <v>98</v>
      </c>
      <c r="H29" s="12">
        <v>1150.0</v>
      </c>
      <c r="I29" s="48"/>
      <c r="J29" s="11">
        <f t="shared" ref="J29:J30" si="5">I29*H29</f>
        <v>0</v>
      </c>
    </row>
    <row r="30" ht="15.75" customHeight="1">
      <c r="B30" s="13" t="s">
        <v>121</v>
      </c>
      <c r="C30" s="12">
        <v>3230.0</v>
      </c>
      <c r="D30" s="48"/>
      <c r="E30" s="11">
        <f t="shared" si="4"/>
        <v>0</v>
      </c>
      <c r="G30" s="49" t="s">
        <v>99</v>
      </c>
      <c r="H30" s="50">
        <v>15000.0</v>
      </c>
      <c r="I30" s="58"/>
      <c r="J30" s="51">
        <f t="shared" si="5"/>
        <v>0</v>
      </c>
    </row>
    <row r="31" ht="15.75" customHeight="1">
      <c r="B31" s="13" t="s">
        <v>122</v>
      </c>
      <c r="C31" s="12">
        <v>3225.0</v>
      </c>
      <c r="D31" s="48"/>
      <c r="E31" s="11">
        <f t="shared" si="4"/>
        <v>0</v>
      </c>
      <c r="G31" s="12"/>
      <c r="H31" s="12"/>
      <c r="I31" s="12"/>
      <c r="J31" s="41">
        <f>SUM(J29:J30)</f>
        <v>0</v>
      </c>
    </row>
    <row r="32" ht="15.75" customHeight="1">
      <c r="B32" s="13" t="s">
        <v>123</v>
      </c>
      <c r="C32" s="12">
        <v>3225.0</v>
      </c>
      <c r="D32" s="48"/>
      <c r="E32" s="11">
        <f t="shared" si="4"/>
        <v>0</v>
      </c>
    </row>
    <row r="33" ht="15.75" customHeight="1">
      <c r="B33" s="13" t="s">
        <v>124</v>
      </c>
      <c r="C33" s="12">
        <v>3440.0</v>
      </c>
      <c r="D33" s="48"/>
      <c r="E33" s="11">
        <f t="shared" si="4"/>
        <v>0</v>
      </c>
      <c r="F33" s="12"/>
    </row>
    <row r="34" ht="15.75" customHeight="1">
      <c r="B34" s="13" t="s">
        <v>125</v>
      </c>
      <c r="C34" s="12">
        <v>3440.0</v>
      </c>
      <c r="D34" s="48"/>
      <c r="E34" s="11">
        <f t="shared" si="4"/>
        <v>0</v>
      </c>
    </row>
    <row r="35" ht="15.75" customHeight="1">
      <c r="B35" s="13" t="s">
        <v>126</v>
      </c>
      <c r="C35" s="12">
        <v>4085.0</v>
      </c>
      <c r="D35" s="48"/>
      <c r="E35" s="11">
        <f t="shared" si="4"/>
        <v>0</v>
      </c>
    </row>
    <row r="36" ht="15.75" customHeight="1">
      <c r="B36" s="13" t="s">
        <v>127</v>
      </c>
      <c r="C36" s="12">
        <v>4085.0</v>
      </c>
      <c r="D36" s="48"/>
      <c r="E36" s="11">
        <f t="shared" si="4"/>
        <v>0</v>
      </c>
    </row>
    <row r="37" ht="15.75" customHeight="1">
      <c r="B37" s="13" t="s">
        <v>128</v>
      </c>
      <c r="C37" s="12">
        <v>6250.0</v>
      </c>
      <c r="D37" s="48"/>
      <c r="E37" s="11">
        <f t="shared" si="4"/>
        <v>0</v>
      </c>
    </row>
    <row r="38" ht="15.75" customHeight="1">
      <c r="B38" s="77" t="s">
        <v>129</v>
      </c>
      <c r="C38" s="50">
        <v>9560.0</v>
      </c>
      <c r="D38" s="58"/>
      <c r="E38" s="51">
        <f t="shared" si="4"/>
        <v>0</v>
      </c>
    </row>
    <row r="39" ht="15.75" customHeight="1">
      <c r="C39" s="12"/>
      <c r="D39" s="12"/>
      <c r="E39" s="41">
        <f>SUM(E23:E38)</f>
        <v>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2024-05-10T06:42:00Z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0F9E1565544F434EAB41EDF0FA448B2B_11</vt:lpwstr>
  </property>
  <property fmtid="{D5CDD505-2E9C-101B-9397-08002B2CF9AE}" pid="3" name="KSOProductBuildVer">
    <vt:lpwstr>1033-12.2.0.16909</vt:lpwstr>
  </property>
</Properties>
</file>